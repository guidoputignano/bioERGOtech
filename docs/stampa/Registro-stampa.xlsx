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Media list" sheetId="2" state="visible" r:id="rId2"/>
    <sheet name="Uscite" sheetId="3" state="visible" r:id="rId3"/>
    <sheet name="Riepilogo" sheetId="4" state="visible" r:id="rId4"/>
  </sheets>
  <definedNames>
    <definedName name="_xlnm._FilterDatabase" localSheetId="1" hidden="1">'Media list'!$A$1:$R$120</definedName>
    <definedName name="_xlnm._FilterDatabase" localSheetId="2" hidden="1">'Uscite'!$A$1:$Q$400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12786F"/>
      <sz val="14"/>
    </font>
    <font>
      <name val="Arial"/>
      <i val="1"/>
      <color rgb="004A5568"/>
      <sz val="10"/>
    </font>
    <font>
      <name val="Arial"/>
      <sz val="10"/>
    </font>
    <font>
      <name val="Arial"/>
      <b val="1"/>
      <color rgb="0012786F"/>
      <sz val="11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color rgb="0012786F"/>
      <sz val="13"/>
    </font>
    <font>
      <name val="Arial"/>
      <i val="1"/>
      <color rgb="004A5568"/>
      <sz val="9"/>
    </font>
    <font>
      <name val="Arial"/>
      <b val="1"/>
      <color rgb="00FFFFFF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2786F"/>
      </patternFill>
    </fill>
    <fill>
      <patternFill patternType="solid">
        <fgColor rgb="00FFFFFF"/>
      </patternFill>
    </fill>
    <fill>
      <patternFill patternType="solid">
        <fgColor rgb="002EC4B6"/>
      </patternFill>
    </fill>
  </fills>
  <borders count="2">
    <border>
      <left/>
      <right/>
      <top/>
      <bottom/>
      <diagonal/>
    </border>
    <border>
      <bottom style="thin">
        <color rgb="00D7DE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0" fillId="5" borderId="0" pivotButton="0" quotePrefix="0" xfId="0"/>
    <xf numFmtId="0" fontId="3" fillId="0" borderId="1" pivotButton="0" quotePrefix="0" xfId="0"/>
    <xf numFmtId="1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bioERGOtech</author>
  </authors>
  <commentList>
    <comment ref="A1" authorId="0" shapeId="0">
      <text>
        <t>Testate verificate a ottobre 2026 (sito aperto). Righe vuote in fondo per aggiungerne altre.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ntennasud.com/" TargetMode="External" Id="rId1" /><Relationship Type="http://schemas.openxmlformats.org/officeDocument/2006/relationships/hyperlink" Target="https://www.antennasud.com/ (footer, voce &#8220;Contatti&#8221;; indirizzo protetto, decodificato; /contatti/ risponde 404; il dominio canale85.it reindirizza qui; consultato 7 ott 2026)" TargetMode="External" Id="rId2" /><Relationship Type="http://schemas.openxmlformats.org/officeDocument/2006/relationships/hyperlink" Target="https://www.adnkronos.com/" TargetMode="External" Id="rId3" /><Relationship Type="http://schemas.openxmlformats.org/officeDocument/2006/relationships/hyperlink" Target="https://www.adnkronos.com/contatti" TargetMode="External" Id="rId4" /><Relationship Type="http://schemas.openxmlformats.org/officeDocument/2006/relationships/hyperlink" Target="https://www.adnkronos.com/contatti (voci &#8220;Adnkronos Agenzia&#8221; e &#8220;Adnkronos Salute&#8221;; consultato 7 ott 2026)" TargetMode="External" Id="rId5" /><Relationship Type="http://schemas.openxmlformats.org/officeDocument/2006/relationships/hyperlink" Target="https://www.dire.it/" TargetMode="External" Id="rId6" /><Relationship Type="http://schemas.openxmlformats.org/officeDocument/2006/relationships/hyperlink" Target="https://www.dire.it/contatti/" TargetMode="External" Id="rId7" /><Relationship Type="http://schemas.openxmlformats.org/officeDocument/2006/relationships/hyperlink" Target="https://www.dire.it/contatti/ (voci &#8220;Puglia&#8221;, &#8220;Scuola&#8221;, &#8220;Sanit&#224;&#8221;; consultato 7 ott 2026)" TargetMode="External" Id="rId8" /><Relationship Type="http://schemas.openxmlformats.org/officeDocument/2006/relationships/hyperlink" Target="https://www.agi.it/" TargetMode="External" Id="rId9" /><Relationship Type="http://schemas.openxmlformats.org/officeDocument/2006/relationships/hyperlink" Target="https://www.agi.it/info/sedi/" TargetMode="External" Id="rId10" /><Relationship Type="http://schemas.openxmlformats.org/officeDocument/2006/relationships/hyperlink" Target="https://www.agi.it/info/sedi/ (voce &#8220;Bari&#8221;; consultato 7 ott 2026)" TargetMode="External" Id="rId11" /><Relationship Type="http://schemas.openxmlformats.org/officeDocument/2006/relationships/hyperlink" Target="https://www.quotidianodipuglia.it/" TargetMode="External" Id="rId12" /><Relationship Type="http://schemas.openxmlformats.org/officeDocument/2006/relationships/hyperlink" Target="https://www.quotidianodipuglia.it/redazione/" TargetMode="External" Id="rId13" /><Relationship Type="http://schemas.openxmlformats.org/officeDocument/2006/relationships/hyperlink" Target="https://www.ilfarmacistaonline.it/" TargetMode="External" Id="rId14" /><Relationship Type="http://schemas.openxmlformats.org/officeDocument/2006/relationships/hyperlink" Target="https://www.ilfarmacistaonline.it/redazione.php" TargetMode="External" Id="rId15" /><Relationship Type="http://schemas.openxmlformats.org/officeDocument/2006/relationships/hyperlink" Target="https://www.innlifes.com/" TargetMode="External" Id="rId16" /><Relationship Type="http://schemas.openxmlformats.org/officeDocument/2006/relationships/hyperlink" Target="https://www.innlifes.com/contatti/" TargetMode="External" Id="rId17" /><Relationship Type="http://schemas.openxmlformats.org/officeDocument/2006/relationships/hyperlink" Target="https://www.innlifes.com/contatti/ (&#8220;Se vuoi segnalare un progetto, un evento o un comunicato stampa&#8221;; consultato 7 ott 2026)" TargetMode="External" Id="rId18" /><Relationship Type="http://schemas.openxmlformats.org/officeDocument/2006/relationships/hyperlink" Target="https://www.tecnicadellascuola.it/" TargetMode="External" Id="rId19" /><Relationship Type="http://schemas.openxmlformats.org/officeDocument/2006/relationships/hyperlink" Target="https://www.tecnicadellascuola.it/contatti" TargetMode="External" Id="rId20" /><Relationship Type="http://schemas.openxmlformats.org/officeDocument/2006/relationships/hyperlink" Target="https://www.tecnicadellascuola.it/contatti (indirizzo generale della casa editrice; consultato 7 ott 2026)" TargetMode="External" Id="rId21" /><Relationship Type="http://schemas.openxmlformats.org/officeDocument/2006/relationships/hyperlink" Target="https://www.orizzontescuola.it/" TargetMode="External" Id="rId22" /><Relationship Type="http://schemas.openxmlformats.org/officeDocument/2006/relationships/hyperlink" Target="https://www.skuola.net/" TargetMode="External" Id="rId23" /><Relationship Type="http://schemas.openxmlformats.org/officeDocument/2006/relationships/hyperlink" Target="https://corporate.skuola.net/contatti/" TargetMode="External" Id="rId24" /><Relationship Type="http://schemas.openxmlformats.org/officeDocument/2006/relationships/hyperlink" Target="https://corporate.skuola.net/contatti/ (consultato 7 ott 2026)" TargetMode="External" Id="rId25" /><Relationship Type="http://schemas.openxmlformats.org/officeDocument/2006/relationships/hyperlink" Target="https://www.vita.it/" TargetMode="External" Id="rId26" /><Relationship Type="http://schemas.openxmlformats.org/officeDocument/2006/relationships/hyperlink" Target="https://www.vita.it/info-e-contatti/" TargetMode="External" Id="rId27" /><Relationship Type="http://schemas.openxmlformats.org/officeDocument/2006/relationships/hyperlink" Target="https://www.vita.it/info-e-contatti/ (voce &#8220;Redazione&#8221;; indirizzo protetto, decodificato; consultato 7 ott 2026)" TargetMode="External" Id="rId28" /><Relationship Type="http://schemas.openxmlformats.org/officeDocument/2006/relationships/hyperlink" Target="https://telenorba.it/" TargetMode="External" Id="rId29" /><Relationship Type="http://schemas.openxmlformats.org/officeDocument/2006/relationships/hyperlink" Target="https://telenorba.it/contatti/" TargetMode="External" Id="rId30" /><Relationship Type="http://schemas.openxmlformats.org/officeDocument/2006/relationships/hyperlink" Target="https://www.ansa.it/puglia/" TargetMode="External" Id="rId31" /><Relationship Type="http://schemas.openxmlformats.org/officeDocument/2006/relationships/hyperlink" Target="https://www.ansa.it/corporate/it/info/dove_siamo.html" TargetMode="External" Id="rId32" /><Relationship Type="http://schemas.openxmlformats.org/officeDocument/2006/relationships/hyperlink" Target="https://www.ansa.it/puglia/ (box contatti della redazione regionale, con indirizzo di Bari confermato da dove_siamo.html; consultati 7 ott 2026)" TargetMode="External" Id="rId33" /><Relationship Type="http://schemas.openxmlformats.org/officeDocument/2006/relationships/hyperlink" Target="https://www.lagazzettadelmezzogiorno.it/" TargetMode="External" Id="rId34" /><Relationship Type="http://schemas.openxmlformats.org/officeDocument/2006/relationships/hyperlink" Target="https://www.lagazzettadelmezzogiorno.it/sezioni/477/info-e-contatti" TargetMode="External" Id="rId35" /><Relationship Type="http://schemas.openxmlformats.org/officeDocument/2006/relationships/hyperlink" Target="https://www.lagazzettadelmezzogiorno.it/sezioni/477/info-e-contatti (voci &#8220;Gazzetta Taranto&#8221; e &#8220;Sport&#8221;; consultato 7 ott 2026)" TargetMode="External" Id="rId36" /><Relationship Type="http://schemas.openxmlformats.org/officeDocument/2006/relationships/hyperlink" Target="https://www.rainews.it/tgr/puglia" TargetMode="External" Id="rId37" /><Relationship Type="http://schemas.openxmlformats.org/officeDocument/2006/relationships/hyperlink" Target="https://www.rainews.it/tgr/chi-siamo.html" TargetMode="External" Id="rId38" /><Relationship Type="http://schemas.openxmlformats.org/officeDocument/2006/relationships/hyperlink" Target="https://www.rainews.it/tgr/chi-siamo.html (elenco redazioni, voce &#8220;Puglia&#8221;; consultato 7 ott 2026)" TargetMode="External" Id="rId39" /><Relationship Type="http://schemas.openxmlformats.org/officeDocument/2006/relationships/hyperlink" Target="https://www.corriereditaranto.it/" TargetMode="External" Id="rId40" /><Relationship Type="http://schemas.openxmlformats.org/officeDocument/2006/relationships/hyperlink" Target="https://www.corriereditaranto.it/ (footer, voce &#8220;Comunica con noi&#8221;; indirizzo protetto da Cloudflare, decodificato; /contatti/ rimanda alla home; consultato 7 ott 2026)" TargetMode="External" Id="rId41" /><Relationship Type="http://schemas.openxmlformats.org/officeDocument/2006/relationships/hyperlink" Target="https://www.tarantotoday.it/" TargetMode="External" Id="rId42" /><Relationship Type="http://schemas.openxmlformats.org/officeDocument/2006/relationships/hyperlink" Target="https://www.citynews.it/gruppo/redazioni/tarantotoday.html" TargetMode="External" Id="rId43" /><Relationship Type="http://schemas.openxmlformats.org/officeDocument/2006/relationships/hyperlink" Target="https://www.citynews.it/gruppo/redazioni/tarantotoday.html (&#8220;Scrivi alla redazione per segnalare notizie ed eventi&#8221;; consultato 7 ott 2026)" TargetMode="External" Id="rId44" /><Relationship Type="http://schemas.openxmlformats.org/officeDocument/2006/relationships/hyperlink" Target="https://www.buonasera24.it/" TargetMode="External" Id="rId45" /><Relationship Type="http://schemas.openxmlformats.org/officeDocument/2006/relationships/hyperlink" Target="https://www.buonasera24.it/ (footer del sito, voce &#8220;Email&#8221;; la pagina /contatti risponde 404; consultato 7 ott 2026)" TargetMode="External" Id="rId46" /><Relationship Type="http://schemas.openxmlformats.org/officeDocument/2006/relationships/hyperlink" Target="https://www.studio100.it/" TargetMode="External" Id="rId47" /><Relationship Type="http://schemas.openxmlformats.org/officeDocument/2006/relationships/hyperlink" Target="https://www.studio100.it/contatti/" TargetMode="External" Id="rId48" /><Relationship Type="http://schemas.openxmlformats.org/officeDocument/2006/relationships/hyperlink" Target="https://www.studio100.it/contatti/ (voce &#8220;Redazione&#8221;; consultato 7 ott 2026)" TargetMode="External" Id="rId49" /><Relationship Type="http://schemas.openxmlformats.org/officeDocument/2006/relationships/hyperlink" Target="https://bari.repubblica.it/" TargetMode="External" Id="rId50" /><Relationship Type="http://schemas.openxmlformats.org/officeDocument/2006/relationships/hyperlink" Target="https://www.repubblica.it/static/servizi/scrivi.html" TargetMode="External" Id="rId51" /><Relationship Type="http://schemas.openxmlformats.org/officeDocument/2006/relationships/hyperlink" Target="https://trnews.it/" TargetMode="External" Id="rId52" /><Relationship Type="http://schemas.openxmlformats.org/officeDocument/2006/relationships/hyperlink" Target="https://trnews.it/redazione" TargetMode="External" Id="rId53" /><Relationship Type="http://schemas.openxmlformats.org/officeDocument/2006/relationships/hyperlink" Target="https://www.ai4business.it/" TargetMode="External" Id="rId54" /><Relationship Type="http://schemas.openxmlformats.org/officeDocument/2006/relationships/hyperlink" Target="https://www.ai4business.it/about/" TargetMode="External" Id="rId55" /><Relationship Type="http://schemas.openxmlformats.org/officeDocument/2006/relationships/hyperlink" Target="https://www.ai4business.it/about/ (&#8220;Segreteria di redazione&#8221;; consultato 7 ott 2026)" TargetMode="External" Id="rId56" /><Relationship Type="http://schemas.openxmlformats.org/officeDocument/2006/relationships/hyperlink" Target="https://www.avvenire.it/" TargetMode="External" Id="rId57" /><Relationship Type="http://schemas.openxmlformats.org/officeDocument/2006/relationships/hyperlink" Target="https://www.avvenire.it/info/contatti" TargetMode="External" Id="rId58" /><Relationship Type="http://schemas.openxmlformats.org/officeDocument/2006/relationships/hyperlink" Target="https://www.avvenire.it/info/contatti (voci &#8220;Segreteria di redazione&#8221; e &#8220;Cronache nazionali&#8221;; consultato 7 ott 2026)" TargetMode="External" Id="rId59" /><Relationship Type="http://schemas.openxmlformats.org/officeDocument/2006/relationships/hyperlink" Target="https://www.corriere.it/buone-notizie/" TargetMode="External" Id="rId60" /><Relationship Type="http://schemas.openxmlformats.org/officeDocument/2006/relationships/hyperlink" Target="https://www.corriere.it/buone-notizie/chi-siamo.shtml" TargetMode="External" Id="rId61" /><Relationship Type="http://schemas.openxmlformats.org/officeDocument/2006/relationships/hyperlink" Target="https://www.corriere.it/buone-notizie/chi-siamo.shtml (&#8220;puoi segnalarla a&#8221;; consultato 7 ott 2026)" TargetMode="External" Id="rId62" /><Relationship Type="http://schemas.openxmlformats.org/officeDocument/2006/relationships/hyperlink" Target="https://www.economyup.it/" TargetMode="External" Id="rId63" /><Relationship Type="http://schemas.openxmlformats.org/officeDocument/2006/relationships/hyperlink" Target="https://www.economyup.it/about/" TargetMode="External" Id="rId64" /><Relationship Type="http://schemas.openxmlformats.org/officeDocument/2006/relationships/hyperlink" Target="https://www.economyup.it/about/ (consultato 7 ott 2026)" TargetMode="External" Id="rId65" /><Relationship Type="http://schemas.openxmlformats.org/officeDocument/2006/relationships/hyperlink" Target="https://www.farmacista33.it/" TargetMode="External" Id="rId66" /><Relationship Type="http://schemas.openxmlformats.org/officeDocument/2006/relationships/hyperlink" Target="https://www.farmacista33.it/contatti/" TargetMode="External" Id="rId67" /><Relationship Type="http://schemas.openxmlformats.org/officeDocument/2006/relationships/hyperlink" Target="https://www.healthtech360.it/" TargetMode="External" Id="rId68" /><Relationship Type="http://schemas.openxmlformats.org/officeDocument/2006/relationships/hyperlink" Target="https://www.healthtech360.it/about/" TargetMode="External" Id="rId69" /><Relationship Type="http://schemas.openxmlformats.org/officeDocument/2006/relationships/hyperlink" Target="https://www.healthtech360.it/about/ (&#8220;Segreteria di redazione&#8221;; consultato 7 ott 2026)" TargetMode="External" Id="rId70" /><Relationship Type="http://schemas.openxmlformats.org/officeDocument/2006/relationships/hyperlink" Target="https://www.insalutenews.it/in-salute/" TargetMode="External" Id="rId71" /><Relationship Type="http://schemas.openxmlformats.org/officeDocument/2006/relationships/hyperlink" Target="https://www.insalutenews.it/in-salute/contatti/" TargetMode="External" Id="rId72" /><Relationship Type="http://schemas.openxmlformats.org/officeDocument/2006/relationships/hyperlink" Target="https://www.insalutenews.it/in-salute/contatti/ (voce &#8220;Redazione&#8221;; consultato 7 ott 2026)" TargetMode="External" Id="rId73" /><Relationship Type="http://schemas.openxmlformats.org/officeDocument/2006/relationships/hyperlink" Target="https://www.oasport.it/" TargetMode="External" Id="rId74" /><Relationship Type="http://schemas.openxmlformats.org/officeDocument/2006/relationships/hyperlink" Target="https://www.oasport.it/chi-siamo/" TargetMode="External" Id="rId75" /><Relationship Type="http://schemas.openxmlformats.org/officeDocument/2006/relationships/hyperlink" Target="https://www.osservatorioterapieavanzate.it/" TargetMode="External" Id="rId76" /><Relationship Type="http://schemas.openxmlformats.org/officeDocument/2006/relationships/hyperlink" Target="https://pianetasalute.online/" TargetMode="External" Id="rId77" /><Relationship Type="http://schemas.openxmlformats.org/officeDocument/2006/relationships/hyperlink" Target="https://pianetasalute.online/contatti/" TargetMode="External" Id="rId78" /><Relationship Type="http://schemas.openxmlformats.org/officeDocument/2006/relationships/hyperlink" Target="https://pianetasalute.online/contatti/ (&#8220;Per mettersi in contatto con la Redazione&#8221;; consultato 7 ott 2026)" TargetMode="External" Id="rId79" /><Relationship Type="http://schemas.openxmlformats.org/officeDocument/2006/relationships/hyperlink" Target="https://www.quotidianosanita.it/" TargetMode="External" Id="rId80" /><Relationship Type="http://schemas.openxmlformats.org/officeDocument/2006/relationships/hyperlink" Target="https://www.sanitainformazione.it/" TargetMode="External" Id="rId81" /><Relationship Type="http://schemas.openxmlformats.org/officeDocument/2006/relationships/hyperlink" Target="https://www.sanitainformazione.it/ (footer, &#8220;Per informazioni&#8221;; /contatti/ risponde 404; consultato 7 ott 2026)" TargetMode="External" Id="rId82" /><Relationship Type="http://schemas.openxmlformats.org/officeDocument/2006/relationships/hyperlink" Target="https://trendsanita.it/" TargetMode="External" Id="rId83" /><Relationship Type="http://schemas.openxmlformats.org/officeDocument/2006/relationships/hyperlink" Target="https://trendsanita.it/contatti/" TargetMode="External" Id="rId84" /><Relationship Type="http://schemas.openxmlformats.org/officeDocument/2006/relationships/hyperlink" Target="https://trendsanita.it/contatti/ (&#8220;inviarci i tuoi comunicati stampa&#8221;; consultato 7 ott 2026)" TargetMode="External" Id="rId85" /><Relationship Type="http://schemas.openxmlformats.org/officeDocument/2006/relationships/hyperlink" Target="https://www.tuttoscuola.com/" TargetMode="External" Id="rId86" /><Relationship Type="http://schemas.openxmlformats.org/officeDocument/2006/relationships/hyperlink" Target="https://www.tuttoscuola.com/contatti/" TargetMode="External" Id="rId87" /><Relationship Type="http://schemas.openxmlformats.org/officeDocument/2006/relationships/hyperlink" Target="https://www.tuttoscuola.com/contatti/ (voce &#8220;e-mail&#8221;; consultato 7 ott 2026)" TargetMode="External" Id="rId88" /><Relationship Type="http://schemas.openxmlformats.org/officeDocument/2006/relationships/hyperlink" Target="https://radionorba.it/" TargetMode="External" Id="rId89" /><Relationship Type="http://schemas.openxmlformats.org/officeDocument/2006/relationships/hyperlink" Target="https://radionorba.it/contatti/" TargetMode="External" Id="rId90" /><Relationship Type="http://schemas.openxmlformats.org/officeDocument/2006/relationships/hyperlink" Target="https://radionorba.it/contatti/ (voce &#8220;E-mail&#8221;, indirizzo generale; consultato 7 ott 2026)" TargetMode="External" Id="rId91" /><Relationship Type="http://schemas.openxmlformats.org/officeDocument/2006/relationships/hyperlink" Target="https://bari.corriere.it/" TargetMode="External" Id="rId92" /><Relationship Type="http://schemas.openxmlformats.org/officeDocument/2006/relationships/hyperlink" Target="https://www.corriere.it/scrivi/" TargetMode="External" Id="rId93" /><Relationship Type="http://schemas.openxmlformats.org/officeDocument/2006/relationships/hyperlink" Target="https://bari.corriere.it/ (box &#8220;Hai una storia da segnalare sul tuo territorio? Scrivici&#8221;); il modulo su corriere.it/scrivi ha la voce &#8220;Redazione Corriere del Mezzogiorno (Puglia)&#8221; (consultati 7 ott 2026)" TargetMode="External" Id="rId94" /><Relationship Type="http://schemas.openxmlformats.org/officeDocument/2006/relationships/hyperlink" Target="https://ledicola.it/" TargetMode="External" Id="rId95" /><Relationship Type="http://schemas.openxmlformats.org/officeDocument/2006/relationships/hyperlink" Target="https://ledicola.it/contatti/" TargetMode="External" Id="rId96" /><Relationship Type="http://schemas.openxmlformats.org/officeDocument/2006/relationships/hyperlink" Target="https://ledicola.it/contatti/ (&#8220;Scrivici a&#8221;; indirizzo protetto, decodificato; consultato 7 ott 2026)" TargetMode="External" Id="rId97" /><Relationship Type="http://schemas.openxmlformats.org/officeDocument/2006/relationships/hyperlink" Target="https://www.pugliapress.org/" TargetMode="External" Id="rId98" /><Relationship Type="http://schemas.openxmlformats.org/officeDocument/2006/relationships/hyperlink" Target="https://www.pugliapress.org/contatti/" TargetMode="External" Id="rId99" /><Relationship Type="http://schemas.openxmlformats.org/officeDocument/2006/relationships/hyperlink" Target="https://www.pugliapress.org/contatti/ (&#8220;Puoi inviarci una email&#8221;; consultato 7 ott 2026)" TargetMode="External" Id="rId100" /><Relationship Type="http://schemas.openxmlformats.org/officeDocument/2006/relationships/hyperlink" Target="https://www.cronachetarantine.it/" TargetMode="External" Id="rId101" /><Relationship Type="http://schemas.openxmlformats.org/officeDocument/2006/relationships/hyperlink" Target="https://www.cronachetarantine.it/ (footer, voce &#8220;Email&#8221;; nessuna pagina contatti trovata; consultato 7 ott 2026)" TargetMode="External" Id="rId102" /><Relationship Type="http://schemas.openxmlformats.org/officeDocument/2006/relationships/hyperlink" Target="https://giornalerossoblu.it/" TargetMode="External" Id="rId103" /><Relationship Type="http://schemas.openxmlformats.org/officeDocument/2006/relationships/hyperlink" Target="https://giornalerossoblu.it/contact/" TargetMode="External" Id="rId104" /><Relationship Type="http://schemas.openxmlformats.org/officeDocument/2006/relationships/hyperlink" Target="https://giornalerossoblu.it/contact/ (&#8220;Informazioni di contatto&#8221;; consultato 7 ott 2026)" TargetMode="External" Id="rId105" /><Relationship Type="http://schemas.openxmlformats.org/officeDocument/2006/relationships/hyperlink" Target="https://www.cosmopolis.media/" TargetMode="External" Id="rId106" /><Relationship Type="http://schemas.openxmlformats.org/officeDocument/2006/relationships/hyperlink" Target="https://www.cosmopolis.media/contatti/" TargetMode="External" Id="rId107" /><Relationship Type="http://schemas.openxmlformats.org/officeDocument/2006/relationships/hyperlink" Target="https://www.cosmopolis.media/contatti/ (voce &#8220;Redazione&#8221;; consultato 7 ott 2026)" TargetMode="External" Id="rId108" /><Relationship Type="http://schemas.openxmlformats.org/officeDocument/2006/relationships/hyperlink" Target="https://www.oltreilfatto.it/" TargetMode="External" Id="rId109" /><Relationship Type="http://schemas.openxmlformats.org/officeDocument/2006/relationships/hyperlink" Target="https://www.oltreilfatto.it/contatti/" TargetMode="External" Id="rId110" /><Relationship Type="http://schemas.openxmlformats.org/officeDocument/2006/relationships/hyperlink" Target="https://www.oltreilfatto.it/contatti/ (voce &#8220;comunicati&#8221;; consultato 7 ott 2026)" TargetMode="External" Id="rId111" /><Relationship Type="http://schemas.openxmlformats.org/officeDocument/2006/relationships/hyperlink" Target="https://www.blunote.it/" TargetMode="External" Id="rId112" /><Relationship Type="http://schemas.openxmlformats.org/officeDocument/2006/relationships/hyperlink" Target="https://www.blunote.it/ (footer, dati della testata; indirizzo protetto da Cloudflare, decodificato; consultato 7 ott 2026)" TargetMode="External" Id="rId113" /><Relationship Type="http://schemas.openxmlformats.org/officeDocument/2006/relationships/hyperlink" Target="https://www.noinotizie.it/" TargetMode="External" Id="rId114" /><Relationship Type="http://schemas.openxmlformats.org/officeDocument/2006/relationships/hyperlink" Target="https://www.noinotizie.it/contatti/" TargetMode="External" Id="rId115" /><Relationship Type="http://schemas.openxmlformats.org/officeDocument/2006/relationships/hyperlink" Target="https://www.noinotizie.it/contatti/ (&#8220;Per contattare la redazione&#8221;; consultato 7 ott 2026)" TargetMode="External" Id="rId116" /><Relationship Type="http://schemas.openxmlformats.org/officeDocument/2006/relationships/hyperlink" Target="https://www.radiocittadella.it/" TargetMode="External" Id="rId117" /><Relationship Type="http://schemas.openxmlformats.org/officeDocument/2006/relationships/hyperlink" Target="https://www.radiocittadella.it/contatti/" TargetMode="External" Id="rId118" /><Relationship Type="http://schemas.openxmlformats.org/officeDocument/2006/relationships/hyperlink" Target="https://www.radiocittadella.it/contatti/ (voce &#8220;Redazione&#8221;; consultato 7 ott 2026)" TargetMode="External" Id="rId119" /><Relationship Type="http://schemas.openxmlformats.org/officeDocument/2006/relationships/hyperlink" Target="https://www.lavocedimanduria.it/" TargetMode="External" Id="rId120" /><Relationship Type="http://schemas.openxmlformats.org/officeDocument/2006/relationships/hyperlink" Target="https://www.lavocedimanduria.it/page/1097742012519/contattaci" TargetMode="External" Id="rId121" /><Relationship Type="http://schemas.openxmlformats.org/officeDocument/2006/relationships/hyperlink" Target="https://www.lavocedimanduria.it/page/1097742012519/contattaci (&#8220;Per contattare la nostra redazione&#8221;; indirizzo protetto, decodificato; consultato 7 ott 2026)" TargetMode="External" Id="rId122" /><Relationship Type="http://schemas.openxmlformats.org/officeDocument/2006/relationships/hyperlink" Target="https://www.manduriaoggi.it/" TargetMode="External" Id="rId123" /><Relationship Type="http://schemas.openxmlformats.org/officeDocument/2006/relationships/hyperlink" Target="https://www.manduriaoggi.it/?p=contatti" TargetMode="External" Id="rId124" /><Relationship Type="http://schemas.openxmlformats.org/officeDocument/2006/relationships/hyperlink" Target="https://www.manduriaoggi.it/?p=contatti (&#8220;Per qualsiasi informazione&#8221;; consultato 7 ott 2026)" TargetMode="External" Id="rId125" /><Relationship Type="http://schemas.openxmlformats.org/officeDocument/2006/relationships/hyperlink" Target="https://www.agendadigitale.eu/" TargetMode="External" Id="rId126" /><Relationship Type="http://schemas.openxmlformats.org/officeDocument/2006/relationships/hyperlink" Target="https://www.agendadigitale.eu/about/" TargetMode="External" Id="rId127" /><Relationship Type="http://schemas.openxmlformats.org/officeDocument/2006/relationships/hyperlink" Target="https://www.agendadigitale.eu/about/ (&#8220;Segreteria di redazione&#8221;; consultato 7 ott 2026)" TargetMode="External" Id="rId128" /><Relationship Type="http://schemas.openxmlformats.org/officeDocument/2006/relationships/hyperlink" Target="https://www.corrieredellosport.it/" TargetMode="External" Id="rId129" /><Relationship Type="http://schemas.openxmlformats.org/officeDocument/2006/relationships/hyperlink" Target="https://www.corrieredellosport.it/contatti" TargetMode="External" Id="rId130" /><Relationship Type="http://schemas.openxmlformats.org/officeDocument/2006/relationships/hyperlink" Target="https://www.doctor33.it/" TargetMode="External" Id="rId131" /><Relationship Type="http://schemas.openxmlformats.org/officeDocument/2006/relationships/hyperlink" Target="https://www.doctor33.it/contatti" TargetMode="External" Id="rId132" /><Relationship Type="http://schemas.openxmlformats.org/officeDocument/2006/relationships/hyperlink" Target="https://www.healthdesk.it/" TargetMode="External" Id="rId133" /><Relationship Type="http://schemas.openxmlformats.org/officeDocument/2006/relationships/hyperlink" Target="https://www.healthdesk.it/chi-siamo" TargetMode="External" Id="rId134" /><Relationship Type="http://schemas.openxmlformats.org/officeDocument/2006/relationships/hyperlink" Target="https://www.healthdesk.it/chi-siamo (link &#8220;redazione&#8221;; consultato 7 ott 2026)" TargetMode="External" Id="rId135" /><Relationship Type="http://schemas.openxmlformats.org/officeDocument/2006/relationships/hyperlink" Target="https://www.puntoeffe.it/" TargetMode="External" Id="rId136" /><Relationship Type="http://schemas.openxmlformats.org/officeDocument/2006/relationships/hyperlink" Target="https://www.puntoeffe.it/contatti" TargetMode="External" Id="rId137" /><Relationship Type="http://schemas.openxmlformats.org/officeDocument/2006/relationships/hyperlink" Target="https://www.puntoeffe.it/contatti (voce &#8220;Redazione&#8221;, indirizzo non nominativo; consultato 7 ott 2026)" TargetMode="External" Id="rId138" /><Relationship Type="http://schemas.openxmlformats.org/officeDocument/2006/relationships/hyperlink" Target="https://www.sporteconomy.it/" TargetMode="External" Id="rId139" /><Relationship Type="http://schemas.openxmlformats.org/officeDocument/2006/relationships/hyperlink" Target="https://www.sporteconomy.it/contatti/" TargetMode="External" Id="rId140" /><Relationship Type="http://schemas.openxmlformats.org/officeDocument/2006/relationships/hyperlink" Target="https://www.sporteconomy.it/contatti/ (&#8220;e-mail redazione agenzia&#8221;; consultato 7 ott 2026)" TargetMode="External" Id="rId141" /><Relationship Type="http://schemas.openxmlformats.org/officeDocument/2006/relationships/hyperlink" Target="https://www.wired.it/" TargetMode="External" Id="rId142" /><Relationship Type="http://schemas.openxmlformats.org/officeDocument/2006/relationships/hyperlink" Target="https://www.wired.it/info/redazione/" TargetMode="External" Id="rId143" /><Relationship Type="http://schemas.openxmlformats.org/officeDocument/2006/relationships/hyperlink" Target="https://www.giornaledipuglia.com/" TargetMode="External" Id="rId144" /><Relationship Type="http://schemas.openxmlformats.org/officeDocument/2006/relationships/hyperlink" Target="https://www.giornaledipuglia.com/p/redazione.html" TargetMode="External" Id="rId145" /><Relationship Type="http://schemas.openxmlformats.org/officeDocument/2006/relationships/hyperlink" Target="https://www.giornaledipuglia.com/p/redazione.html (voce &#8220;Redazione&#8221;; consultato 7 ott 2026)" TargetMode="External" Id="rId146" /><Relationship Type="http://schemas.openxmlformats.org/officeDocument/2006/relationships/hyperlink" Target="https://www.pugliain.net/" TargetMode="External" Id="rId147" /><Relationship Type="http://schemas.openxmlformats.org/officeDocument/2006/relationships/hyperlink" Target="https://www.pugliain.net/redazione/" TargetMode="External" Id="rId148" /><Relationship Type="http://schemas.openxmlformats.org/officeDocument/2006/relationships/hyperlink" Target="https://www.pugliain.net/redazione/ (&#8220;Per i tuoi comunicati stampa scrivici a&#8221;; consultato 7 ott 2026)" TargetMode="External" Id="rId149" /><Relationship Type="http://schemas.openxmlformats.org/officeDocument/2006/relationships/hyperlink" Target="https://www.inchiostroverde.it/" TargetMode="External" Id="rId150" /><Relationship Type="http://schemas.openxmlformats.org/officeDocument/2006/relationships/hyperlink" Target="https://www.inchiostroverde.it/redazione/" TargetMode="External" Id="rId151" /><Relationship Type="http://schemas.openxmlformats.org/officeDocument/2006/relationships/hyperlink" Target="https://www.inchiostroverde.it/redazione/ (&#8220;Redazione e collaborazioni&#8221;; indirizzo della societ&#224; editrice; consultato 7 ott 2026)" TargetMode="External" Id="rId152" /><Relationship Type="http://schemas.openxmlformats.org/officeDocument/2006/relationships/hyperlink" Target="https://www.vocedelpopolo.org/" TargetMode="External" Id="rId153" /><Relationship Type="http://schemas.openxmlformats.org/officeDocument/2006/relationships/hyperlink" Target="https://oraquadra.info/" TargetMode="External" Id="rId15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ltreilfatto.it/2021/12/premio-italia-giovane-il-tarantino-guido-putignano-tra-i-premiati-dellottava-edizione/" TargetMode="External" Id="rId1" /><Relationship Type="http://schemas.openxmlformats.org/officeDocument/2006/relationships/hyperlink" Target="https://www.youtube.com/watch?v=kgB_22PQ6L4" TargetMode="External" Id="rId2" /><Relationship Type="http://schemas.openxmlformats.org/officeDocument/2006/relationships/hyperlink" Target="https://www.oltreilfatto.it/2021/12/premio-italia-giovane-intervista-a-guido-putignano/" TargetMode="External" Id="rId3" /><Relationship Type="http://schemas.openxmlformats.org/officeDocument/2006/relationships/hyperlink" Target="https://www.youtube.com/watch?v=HRJz70U5dFc" TargetMode="External" Id="rId4" /><Relationship Type="http://schemas.openxmlformats.org/officeDocument/2006/relationships/hyperlink" Target="https://www.lagazzettadelmezzogiorno.it/news/taranto/1362422/taranto-il-20enne-guido-putignano-nominato-il-piu-influente-in-italia-in-scienze-biologiche.html" TargetMode="External" Id="rId5" /><Relationship Type="http://schemas.openxmlformats.org/officeDocument/2006/relationships/hyperlink" Target="https://www.buonasera24.it/news/cronaca/452451/guido-putignano-a-soli-ventanni-eccellenza-italiana.html" TargetMode="External" Id="rId6" /><Relationship Type="http://schemas.openxmlformats.org/officeDocument/2006/relationships/hyperlink" Target="https://biologipugliabasilicata.it/dall11-al-13-ottobre-la-prima-edizione-del-tarantobiotechdays-bionext/" TargetMode="External" Id="rId7" /><Relationship Type="http://schemas.openxmlformats.org/officeDocument/2006/relationships/hyperlink" Target="https://www.buonasera24.it/news/home/866072/realizzare-a-taranto-un-centro-di-ricerca-per-terapie-cellulari.html" TargetMode="External" Id="rId8" /><Relationship Type="http://schemas.openxmlformats.org/officeDocument/2006/relationships/hyperlink" Target="https://www.oltreilfatto.it/2024/09/a-taranto-un-progetto-per-un-centro-di-ricerca-per-terapie-cellulari/" TargetMode="External" Id="rId9" /><Relationship Type="http://schemas.openxmlformats.org/officeDocument/2006/relationships/hyperlink" Target="https://www.uniba.it/it/ricerca/dipartimenti/sistemi-giuridici-ed-economici/eventi/eventi-anno-2024/taranto-biotech-days" TargetMode="External" Id="rId10" /><Relationship Type="http://schemas.openxmlformats.org/officeDocument/2006/relationships/hyperlink" Target="https://www.osservatorioterapieavanzate.it/agenda/taranto-biotech-days-2024-11-13-ottobre-2024-taranto" TargetMode="External" Id="rId11" /><Relationship Type="http://schemas.openxmlformats.org/officeDocument/2006/relationships/hyperlink" Target="https://www.biotecnologitaliani.it/2024/09/27/taranto-biotech-days/" TargetMode="External" Id="rId12" /><Relationship Type="http://schemas.openxmlformats.org/officeDocument/2006/relationships/hyperlink" Target="https://trendsanita.it/taranto-capitale-mondiale-biologia-sintetica-guido-putignano/" TargetMode="External" Id="rId13" /><Relationship Type="http://schemas.openxmlformats.org/officeDocument/2006/relationships/hyperlink" Target="https://www.oltreilfatto.it/2024/10/taranto-biotech-days-l1112-e-13-ottobre-in-citta-i-migliori-esperti-internazionali-di-biotecnologie/" TargetMode="External" Id="rId14" /><Relationship Type="http://schemas.openxmlformats.org/officeDocument/2006/relationships/hyperlink" Target="https://www.cosmopolis.media/webtv/biotecnologie-e-terapie-cellulari-al-taranto-biotech-days/segreteria-di-redazione/" TargetMode="External" Id="rId15" /><Relationship Type="http://schemas.openxmlformats.org/officeDocument/2006/relationships/hyperlink" Target="https://www.noinotizie.it/11-10-2024/taranto-biotech-days-da-oggi/" TargetMode="External" Id="rId16" /><Relationship Type="http://schemas.openxmlformats.org/officeDocument/2006/relationships/hyperlink" Target="https://ledicola.it/news/taranto-iniziano-i-biotech-days-qui-la-ricerca-cellulare/" TargetMode="External" Id="rId17" /><Relationship Type="http://schemas.openxmlformats.org/officeDocument/2006/relationships/hyperlink" Target="https://www.studio100.it/2024/10/11/da-oggi-i-taranto-biotech-days-con-esperti-internazionali-di-biotecnologie/" TargetMode="External" Id="rId18" /><Relationship Type="http://schemas.openxmlformats.org/officeDocument/2006/relationships/hyperlink" Target="https://www.oltreilfatto.it/2024/10/taranto-biotech-days-buona-la-prima/" TargetMode="External" Id="rId19" /><Relationship Type="http://schemas.openxmlformats.org/officeDocument/2006/relationships/hyperlink" Target="https://www.oltreilfatto.it/2024/10/taranto-biotech-days-melucci-lancia-lidea-di-una-fondazione-pubblico-privato-per-il-centro-di-ricerca/" TargetMode="External" Id="rId20" /><Relationship Type="http://schemas.openxmlformats.org/officeDocument/2006/relationships/hyperlink" Target="https://www.cosmopolis.media/webtv/innovazione-e-ricerca-al-taranto-biotech-days-2024/segreteria-di-redazione/" TargetMode="External" Id="rId21" /><Relationship Type="http://schemas.openxmlformats.org/officeDocument/2006/relationships/hyperlink" Target="https://www.studio100.it/2024/10/14/taranto-biotech-days-il-bilancio-complessivo-di-questi-tre-giorni-allinsegna-della-bioscienza/" TargetMode="External" Id="rId22" /><Relationship Type="http://schemas.openxmlformats.org/officeDocument/2006/relationships/hyperlink" Target="https://www.studio100.it/2024/10/15/biotech-seconda-giornata-alla-camera-di-commercio-dieci-le-start-up-presentate/" TargetMode="External" Id="rId23" /><Relationship Type="http://schemas.openxmlformats.org/officeDocument/2006/relationships/hyperlink" Target="https://www.noicamera.com/post/in-camera-di-commercio-taranto-biotech-days-diventa-bioshot" TargetMode="External" Id="rId24" /><Relationship Type="http://schemas.openxmlformats.org/officeDocument/2006/relationships/hyperlink" Target="https://www.buonasera24.it/news/cronaca/866838/centro-di-ricerca-per-la-medicina-cellulare-si-punta-alla-fondazione-pubblico-privato.html" TargetMode="External" Id="rId25" /><Relationship Type="http://schemas.openxmlformats.org/officeDocument/2006/relationships/hyperlink" Target="https://www.oltreilfatto.it/2025/01/taranto-biotech-days-punto-della-situazione-con-guido-putignano/" TargetMode="External" Id="rId26" /><Relationship Type="http://schemas.openxmlformats.org/officeDocument/2006/relationships/hyperlink" Target="https://www.oltreilfatto.it/2025/04/bioergotech-nasce-la-fondazione-per-un-centro-di-ricerca-per-terapie-cellulari/" TargetMode="External" Id="rId27" /><Relationship Type="http://schemas.openxmlformats.org/officeDocument/2006/relationships/hyperlink" Target="https://oraquadra.info/2025/04/22/bioergotech-nasce-la-fondazione-per-un-centro-di-ricerca-per-terapie-cellulari/" TargetMode="External" Id="rId28" /><Relationship Type="http://schemas.openxmlformats.org/officeDocument/2006/relationships/hyperlink" Target="https://www.pugliapress.org/2025/04/22/terapie-cellulari-puglia/" TargetMode="External" Id="rId29" /><Relationship Type="http://schemas.openxmlformats.org/officeDocument/2006/relationships/hyperlink" Target="https://www.tarantotoday.it/salute/taranto-bioergotech-terapie-cellulari-22-04-2025.html" TargetMode="External" Id="rId30" /><Relationship Type="http://schemas.openxmlformats.org/officeDocument/2006/relationships/hyperlink" Target="https://www.oltreilfatto.it/2025/10/dai-taranto-biotech-days-del-2024-nasce-la-fondazione-bioergotech/" TargetMode="External" Id="rId31" /><Relationship Type="http://schemas.openxmlformats.org/officeDocument/2006/relationships/hyperlink" Target="https://www.buonasera24.it/gallery/cronaca/905068/nasce-la-fondazione-bioergotech-tra-intelligenza-artificiale-e-terapie-cellulari-le-foto.html" TargetMode="External" Id="rId32" /><Relationship Type="http://schemas.openxmlformats.org/officeDocument/2006/relationships/hyperlink" Target="https://www.vocedelpopolo.org/2025/10/14/centro-ricerca-terapie-cellulari-taranto/" TargetMode="External" Id="rId33" /><Relationship Type="http://schemas.openxmlformats.org/officeDocument/2006/relationships/hyperlink" Target="https://www.noinotizie.it/16-10-2025/un-centro-di-ricerca-per-terapie-cellulari-a-taranto/" TargetMode="External" Id="rId34" /><Relationship Type="http://schemas.openxmlformats.org/officeDocument/2006/relationships/hyperlink" Target="https://www.secoloditalia.it/2025/10/innovare-per-curare-alla-camera-la-presentazione-del-progetto-per-formare-scienziati-digitali-a-taranto/" TargetMode="External" Id="rId35" /><Relationship Type="http://schemas.openxmlformats.org/officeDocument/2006/relationships/hyperlink" Target="https://www.iltempo.it/adnkronos/2025/10/27/news/innovazione-alla-camera-la-presentazione-della-fondazione-bioergotech-44744138/" TargetMode="External" Id="rId36" /><Relationship Type="http://schemas.openxmlformats.org/officeDocument/2006/relationships/hyperlink" Target="https://www.lidentita.it/ecco-bioergotech-la-ricerca-medica-riparte-tra-ai-e-mezzogiorno/" TargetMode="External" Id="rId37" /><Relationship Type="http://schemas.openxmlformats.org/officeDocument/2006/relationships/hyperlink" Target="https://www.cosmopolis.media/primo-piano/taranto-nasce-bioergotech-per-realizzare-un-centro-di-ricerca/segreteria-di-redazione/" TargetMode="External" Id="rId38" /><Relationship Type="http://schemas.openxmlformats.org/officeDocument/2006/relationships/hyperlink" Target="https://comunicazione.camera.it/archivio-prima-pagina/19-53713" TargetMode="External" Id="rId39" /><Relationship Type="http://schemas.openxmlformats.org/officeDocument/2006/relationships/hyperlink" Target="https://www.innlifes.com/biotech/guido-putignano-fondazione-bioergotech/" TargetMode="External" Id="rId40" /><Relationship Type="http://schemas.openxmlformats.org/officeDocument/2006/relationships/hyperlink" Target="https://www.civonline.it/italia-e-mondo/innovazione-frassinetti-tecnologia-sia-al-servizio-della-persona-la-scuola-deve-formare-mtd1e3zg" TargetMode="External" Id="rId41" /><Relationship Type="http://schemas.openxmlformats.org/officeDocument/2006/relationships/hyperlink" Target="https://www.studio100.it/2025/10/29/montecitorio-presentazione-bioergotech-taranto-biomedicina/" TargetMode="External" Id="rId42" /><Relationship Type="http://schemas.openxmlformats.org/officeDocument/2006/relationships/hyperlink" Target="https://webtv.camera.it/evento/29420" TargetMode="External" Id="rId43" /><Relationship Type="http://schemas.openxmlformats.org/officeDocument/2006/relationships/hyperlink" Target="https://www.oltreilfatto.it/2025/10/bioergotech-innovare-per-curare/" TargetMode="External" Id="rId44" /><Relationship Type="http://schemas.openxmlformats.org/officeDocument/2006/relationships/hyperlink" Target="https://pianetasalute.online/fondazione-bioergotech-nasce-in-italia-il-nuovo-polo-che-unisce-biotecnologie-e-intelligenza-artificiale-per-rivoluzionare-la-salute/" TargetMode="External" Id="rId45" /><Relationship Type="http://schemas.openxmlformats.org/officeDocument/2006/relationships/hyperlink" Target="https://www.youtube.com/watch?v=xg3IeGTPRIE" TargetMode="External" Id="rId46" /><Relationship Type="http://schemas.openxmlformats.org/officeDocument/2006/relationships/hyperlink" Target="https://www.vocedelpopolo.org/2025/12/12/taranto-ospita-evento-cranio-tech-innovare-per-curare/" TargetMode="External" Id="rId47" /><Relationship Type="http://schemas.openxmlformats.org/officeDocument/2006/relationships/hyperlink" Target="https://www.noicamera.com/post/innovare-per-curare-a-taranto-bioergotech-presenta-i-suoi-progetti" TargetMode="External" Id="rId48" /><Relationship Type="http://schemas.openxmlformats.org/officeDocument/2006/relationships/hyperlink" Target="https://telenorba.it/2025/12/14/taranto-ia-per-diagnosi-neurologiche-precoci/" TargetMode="External" Id="rId49" /><Relationship Type="http://schemas.openxmlformats.org/officeDocument/2006/relationships/hyperlink" Target="https://www.oltreilfatto.it/2025/12/da-roma-a-taranto-cranio-tech-innovare-per-curare/" TargetMode="External" Id="rId50" /><Relationship Type="http://schemas.openxmlformats.org/officeDocument/2006/relationships/hyperlink" Target="https://www.giornaledipuglia.com/2025/12/da-roma-taranto-cranio-tech-innovare.html" TargetMode="External" Id="rId51" /><Relationship Type="http://schemas.openxmlformats.org/officeDocument/2006/relationships/hyperlink" Target="https://www.studio100.it/2026/01/05/progetta-futuro-medicina-guido-putignano-taranto-ai-grandi-centri-ricerca-mondiale/" TargetMode="External" Id="rId52" /><Relationship Type="http://schemas.openxmlformats.org/officeDocument/2006/relationships/hyperlink" Target="https://www.studio100.it/2026/09/03/giochi-del-mediterraneo-un-modello-per-un-futuro-di-ricerca-e-innovazione/" TargetMode="External" Id="rId53" /><Relationship Type="http://schemas.openxmlformats.org/officeDocument/2006/relationships/hyperlink" Target="https://www.buonasera24.it/news/cronaca/929357/biotecnologie-e-intelligenza-artificiale-nasce-a-taranto-una-rete-tra-11-scuole.html" TargetMode="External" Id="rId54" /><Relationship Type="http://schemas.openxmlformats.org/officeDocument/2006/relationships/hyperlink" Target="https://www.blunote.it/news/427004694022/biotecnologie-e-intelligenza-artificiale-nasce-a-taranto-la-rete-delle-scuole" TargetMode="External" Id="rId55" /><Relationship Type="http://schemas.openxmlformats.org/officeDocument/2006/relationships/hyperlink" Target="https://trnews.it/2026/09/24/taranto-biotecnologie-e-intelligenza-artificiale-le-nuove-frontiere-della-scuola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Registro stampa · Vivere più a lungo: sport e intelligenza artificiale, Taranto, 10 e 11 dicembre 2026</t>
        </is>
      </c>
    </row>
    <row r="3">
      <c r="B3" s="2" t="inlineStr">
        <is>
          <t>Fondazione bioERGOtech ETS. Strumento interno, da non inviare.</t>
        </is>
      </c>
    </row>
    <row r="4">
      <c r="B4" s="3" t="inlineStr"/>
    </row>
    <row r="5">
      <c r="B5" s="4" t="inlineStr">
        <is>
          <t>Come si usa</t>
        </is>
      </c>
    </row>
    <row r="6">
      <c r="B6" s="3" t="inlineStr">
        <is>
          <t>1. “Media list”: le testate sono già verificate. Compila le celle gialle: referente, email, telefono, date di invio, risposta, accredito.</t>
        </is>
      </c>
    </row>
    <row r="7">
      <c r="B7" s="3" t="inlineStr">
        <is>
          <t>2. “Uscite”: una riga per ogni articolo, servizio TV o radio, post di una testata. Le prime righe sono le uscite già pubblicate e verificate.</t>
        </is>
      </c>
    </row>
    <row r="8">
      <c r="B8" s="3" t="inlineStr">
        <is>
          <t>3. Per ogni uscita salva una copia (PDF o screenshot) e scrivi il nome del file nella colonna “File”. Servirà per la rassegna stampa.</t>
        </is>
      </c>
    </row>
    <row r="9">
      <c r="B9" s="3" t="inlineStr">
        <is>
          <t>4. “Riepilogo” si aggiorna da solo: sono formule. Non scrivere in quel foglio.</t>
        </is>
      </c>
    </row>
    <row r="10">
      <c r="B10" s="3" t="inlineStr"/>
    </row>
    <row r="11">
      <c r="B11" s="4" t="inlineStr">
        <is>
          <t>Regole</t>
        </is>
      </c>
    </row>
    <row r="12">
      <c r="B12" s="3" t="inlineStr">
        <is>
          <t>Celle gialle: da compilare. Le altre colonne della media list vengono dalla verifica di ottobre 2026: correggile se una testata cambia.</t>
        </is>
      </c>
    </row>
    <row r="13">
      <c r="B13" s="3" t="inlineStr">
        <is>
          <t>Nessun dato personale di giornalisti senza il loro consenso: indirizzi e telefoni diretti solo se te li danno loro.</t>
        </is>
      </c>
    </row>
    <row r="14">
      <c r="B14" s="3" t="inlineStr">
        <is>
          <t>Copertura: riporta titolo e link. Il testo integrale degli articoli va solo nella rassegna interna o per gli sponsor, se la testata lo consente.</t>
        </is>
      </c>
    </row>
    <row r="15">
      <c r="B15" s="3" t="inlineStr">
        <is>
          <t>Numeri di lettori o ascolti: solo se dichiarati dalla fonte. Mai stimati.</t>
        </is>
      </c>
    </row>
    <row r="16">
      <c r="B16" s="3" t="inlineStr"/>
    </row>
    <row r="17">
      <c r="B17" s="4" t="inlineStr">
        <is>
          <t>Colonne con elenco</t>
        </is>
      </c>
    </row>
    <row r="18">
      <c r="B18" s="3" t="inlineStr">
        <is>
          <t>Tipo, Priorità, Risposta, Accreditato, Formato, Tono e le colonne Sì/No hanno un menu a tendina: usa quei valori, così il riepilogo li conta.</t>
        </is>
      </c>
    </row>
    <row r="20">
      <c r="B20" s="5" t="inlineStr">
        <is>
          <t>Esempio di cella da compilare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2" customWidth="1" min="4" max="4"/>
    <col width="9" customWidth="1" min="5" max="5"/>
    <col width="44" customWidth="1" min="6" max="6"/>
    <col width="30" customWidth="1" min="7" max="7"/>
    <col width="30" customWidth="1" min="8" max="8"/>
    <col width="28" customWidth="1" min="9" max="9"/>
    <col width="30" customWidth="1" min="10" max="10"/>
    <col width="20" customWidth="1" min="11" max="11"/>
    <col width="2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2" customWidth="1" min="17" max="17"/>
    <col width="36" customWidth="1" min="18" max="18"/>
  </cols>
  <sheetData>
    <row r="1" ht="30" customHeight="1">
      <c r="A1" s="6" t="inlineStr">
        <is>
          <t>Testata</t>
        </is>
      </c>
      <c r="B1" s="6" t="inlineStr">
        <is>
          <t>Tipo</t>
        </is>
      </c>
      <c r="C1" s="6" t="inlineStr">
        <is>
          <t>Area</t>
        </is>
      </c>
      <c r="D1" s="6" t="inlineStr">
        <is>
          <t>Temi</t>
        </is>
      </c>
      <c r="E1" s="6" t="inlineStr">
        <is>
          <t>Priorità</t>
        </is>
      </c>
      <c r="F1" s="6" t="inlineStr">
        <is>
          <t>Perché</t>
        </is>
      </c>
      <c r="G1" s="6" t="inlineStr">
        <is>
          <t>Sito</t>
        </is>
      </c>
      <c r="H1" s="6" t="inlineStr">
        <is>
          <t>Pagina contatti</t>
        </is>
      </c>
      <c r="I1" s="6" t="inlineStr">
        <is>
          <t>Email redazione (pubblica)</t>
        </is>
      </c>
      <c r="J1" s="6" t="inlineStr">
        <is>
          <t>Fonte dell’email</t>
        </is>
      </c>
      <c r="K1" s="6" t="inlineStr">
        <is>
          <t>Referente</t>
        </is>
      </c>
      <c r="L1" s="6" t="inlineStr">
        <is>
          <t>Email referente</t>
        </is>
      </c>
      <c r="M1" s="6" t="inlineStr">
        <is>
          <t>Telefono</t>
        </is>
      </c>
      <c r="N1" s="6" t="inlineStr">
        <is>
          <t>Comunicato inviato il</t>
        </is>
      </c>
      <c r="O1" s="6" t="inlineStr">
        <is>
          <t>Nota inviata il</t>
        </is>
      </c>
      <c r="P1" s="6" t="inlineStr">
        <is>
          <t>Risposta</t>
        </is>
      </c>
      <c r="Q1" s="6" t="inlineStr">
        <is>
          <t>Accreditato</t>
        </is>
      </c>
      <c r="R1" s="6" t="inlineStr">
        <is>
          <t>Note</t>
        </is>
      </c>
    </row>
    <row r="2">
      <c r="A2" s="7" t="inlineStr">
        <is>
          <t>Antenna Sud</t>
        </is>
      </c>
      <c r="B2" s="7" t="inlineStr">
        <is>
          <t>TV regionale e sito di notizie (Canale 85 S.r.l.)</t>
        </is>
      </c>
      <c r="C2" s="7" t="inlineStr">
        <is>
          <t>Bari, BAT, Brindisi, Lecce, Foggia, Taranto, Potenza, Matera</t>
        </is>
      </c>
      <c r="D2" s="7" t="inlineStr">
        <is>
          <t>cronaca, attualità, sport, segnalazioni</t>
        </is>
      </c>
      <c r="E2" s="7" t="inlineStr">
        <is>
          <t>A</t>
        </is>
      </c>
      <c r="F2" s="7" t="inlineStr">
        <is>
          <t>Ha seguito la riapertura del PalaMazzola (27 luglio 2026): copertura TV su Taranto e province vicine.</t>
        </is>
      </c>
      <c r="G2" s="8" t="inlineStr">
        <is>
          <t>https://www.antennasud.com/</t>
        </is>
      </c>
      <c r="H2" s="7" t="inlineStr"/>
      <c r="I2" s="7" t="inlineStr">
        <is>
          <t>info@antennasud.com</t>
        </is>
      </c>
      <c r="J2" s="8" t="inlineStr">
        <is>
          <t>https://www.antennasud.com/ (footer, voce “Contatti”; indirizzo protetto, decodificato; /contatti/ risponde 404; il dominio canale85.it reindirizza qui; consultato 7 ott 2026)</t>
        </is>
      </c>
      <c r="K2" s="9" t="n"/>
      <c r="L2" s="9" t="n"/>
      <c r="M2" s="9" t="n"/>
      <c r="N2" s="10" t="n"/>
      <c r="O2" s="10" t="n"/>
      <c r="P2" s="9" t="n"/>
      <c r="Q2" s="9" t="n"/>
      <c r="R2" s="9" t="n"/>
    </row>
    <row r="3">
      <c r="A3" s="7" t="inlineStr">
        <is>
          <t>Adnkronos (anche Adnkronos Salute)</t>
        </is>
      </c>
      <c r="B3" s="7" t="inlineStr">
        <is>
          <t>Agenzia di stampa nazionale</t>
        </is>
      </c>
      <c r="C3" s="7" t="inlineStr">
        <is>
          <t>Italia</t>
        </is>
      </c>
      <c r="D3" s="7" t="inlineStr">
        <is>
          <t>politica, salute, sport, economia</t>
        </is>
      </c>
      <c r="E3" s="7" t="inlineStr">
        <is>
          <t>A</t>
        </is>
      </c>
      <c r="F3" s="7" t="inlineStr">
        <is>
          <t>Ha già diffuso la presentazione della Fondazione alla Camera (27 ottobre 2025); ha una redazione Salute.</t>
        </is>
      </c>
      <c r="G3" s="8" t="inlineStr">
        <is>
          <t>https://www.adnkronos.com/</t>
        </is>
      </c>
      <c r="H3" s="8" t="inlineStr">
        <is>
          <t>https://www.adnkronos.com/contatti</t>
        </is>
      </c>
      <c r="I3" s="7" t="inlineStr">
        <is>
          <t>segreteria.redazione@adnkronos.com; salute@adnkronos.com</t>
        </is>
      </c>
      <c r="J3" s="8" t="inlineStr">
        <is>
          <t>https://www.adnkronos.com/contatti (voci “Adnkronos Agenzia” e “Adnkronos Salute”; consultato 7 ott 2026)</t>
        </is>
      </c>
      <c r="K3" s="9" t="n"/>
      <c r="L3" s="9" t="n"/>
      <c r="M3" s="9" t="n"/>
      <c r="N3" s="10" t="n"/>
      <c r="O3" s="10" t="n"/>
      <c r="P3" s="9" t="n"/>
      <c r="Q3" s="9" t="n"/>
      <c r="R3" s="9" t="n"/>
    </row>
    <row r="4">
      <c r="A4" s="7" t="inlineStr">
        <is>
          <t>Agenzia Dire</t>
        </is>
      </c>
      <c r="B4" s="7" t="inlineStr">
        <is>
          <t>Agenzia di stampa nazionale con redazioni regionali e tematiche</t>
        </is>
      </c>
      <c r="C4" s="7" t="inlineStr">
        <is>
          <t>Italia; redazione regionale Puglia</t>
        </is>
      </c>
      <c r="D4" s="7" t="inlineStr">
        <is>
          <t>politica, sanità, welfare, scuola, giovani</t>
        </is>
      </c>
      <c r="E4" s="7" t="inlineStr">
        <is>
          <t>A</t>
        </is>
      </c>
      <c r="F4" s="7" t="inlineStr">
        <is>
          <t>Redazioni dedicate a Puglia, scuola e sanità: copre i tre aspetti del progetto.</t>
        </is>
      </c>
      <c r="G4" s="8" t="inlineStr">
        <is>
          <t>https://www.dire.it/</t>
        </is>
      </c>
      <c r="H4" s="8" t="inlineStr">
        <is>
          <t>https://www.dire.it/contatti/</t>
        </is>
      </c>
      <c r="I4" s="7" t="inlineStr">
        <is>
          <t>regione.puglia@dire.it; scuola@dire.it; sanita@dire.it</t>
        </is>
      </c>
      <c r="J4" s="8" t="inlineStr">
        <is>
          <t>https://www.dire.it/contatti/ (voci “Puglia”, “Scuola”, “Sanità”; consultato 7 ott 2026)</t>
        </is>
      </c>
      <c r="K4" s="9" t="n"/>
      <c r="L4" s="9" t="n"/>
      <c r="M4" s="9" t="n"/>
      <c r="N4" s="10" t="n"/>
      <c r="O4" s="10" t="n"/>
      <c r="P4" s="9" t="n"/>
      <c r="Q4" s="9" t="n"/>
      <c r="R4" s="9" t="n"/>
    </row>
    <row r="5">
      <c r="A5" s="7" t="inlineStr">
        <is>
          <t>AGI (redazione di Bari)</t>
        </is>
      </c>
      <c r="B5" s="7" t="inlineStr">
        <is>
          <t>Agenzia di stampa nazionale</t>
        </is>
      </c>
      <c r="C5" s="7" t="inlineStr">
        <is>
          <t>Italia; sede di Bari</t>
        </is>
      </c>
      <c r="D5" s="7" t="inlineStr">
        <is>
          <t>cronaca, politica, economia, sport</t>
        </is>
      </c>
      <c r="E5" s="7" t="inlineStr">
        <is>
          <t>A</t>
        </is>
      </c>
      <c r="F5" s="7" t="inlineStr">
        <is>
          <t>Agenzia nazionale con sede a Bari: utile per il lancio regionale e nazionale.</t>
        </is>
      </c>
      <c r="G5" s="8" t="inlineStr">
        <is>
          <t>https://www.agi.it/</t>
        </is>
      </c>
      <c r="H5" s="8" t="inlineStr">
        <is>
          <t>https://www.agi.it/info/sedi/</t>
        </is>
      </c>
      <c r="I5" s="7" t="inlineStr">
        <is>
          <t>redazione.bari@agi.it</t>
        </is>
      </c>
      <c r="J5" s="8" t="inlineStr">
        <is>
          <t>https://www.agi.it/info/sedi/ (voce “Bari”; consultato 7 ott 2026)</t>
        </is>
      </c>
      <c r="K5" s="9" t="n"/>
      <c r="L5" s="9" t="n"/>
      <c r="M5" s="9" t="n"/>
      <c r="N5" s="10" t="n"/>
      <c r="O5" s="10" t="n"/>
      <c r="P5" s="9" t="n"/>
      <c r="Q5" s="9" t="n"/>
      <c r="R5" s="9" t="n"/>
    </row>
    <row r="6">
      <c r="A6" s="7" t="inlineStr">
        <is>
          <t>Quotidiano di Puglia</t>
        </is>
      </c>
      <c r="B6" s="7" t="inlineStr">
        <is>
          <t>Quotidiano regionale con edizioni locali</t>
        </is>
      </c>
      <c r="C6" s="7" t="inlineStr">
        <is>
          <t>Lecce, Brindisi, Taranto, Bari, BAT, Foggia</t>
        </is>
      </c>
      <c r="D6" s="7" t="inlineStr">
        <is>
          <t>cronaca, politica, economia, sport</t>
        </is>
      </c>
      <c r="E6" s="7" t="inlineStr">
        <is>
          <t>A</t>
        </is>
      </c>
      <c r="F6" s="7" t="inlineStr">
        <is>
          <t>Edizione di Taranto con redazione dedicata: canale diretto per la cronaca cittadina.</t>
        </is>
      </c>
      <c r="G6" s="8" t="inlineStr">
        <is>
          <t>https://www.quotidianodipuglia.it/</t>
        </is>
      </c>
      <c r="H6" s="8" t="inlineStr">
        <is>
          <t>https://www.quotidianodipuglia.it/redazione/</t>
        </is>
      </c>
      <c r="I6" s="7" t="inlineStr"/>
      <c r="J6" s="7" t="inlineStr">
        <is>
          <t>La pagina redazione riporta solo indirizzi nominativi di giornalisti, volutamente non raccolti (consultato 7 ott 2026).</t>
        </is>
      </c>
      <c r="K6" s="9" t="n"/>
      <c r="L6" s="9" t="n"/>
      <c r="M6" s="9" t="n"/>
      <c r="N6" s="10" t="n"/>
      <c r="O6" s="10" t="n"/>
      <c r="P6" s="9" t="n"/>
      <c r="Q6" s="9" t="n"/>
      <c r="R6" s="9" t="n"/>
    </row>
    <row r="7">
      <c r="A7" s="7" t="inlineStr">
        <is>
          <t>Il Farmacista Online</t>
        </is>
      </c>
      <c r="B7" s="7" t="inlineStr">
        <is>
          <t>Testata online della professione (notizie quotidiane dalla FOFI)</t>
        </is>
      </c>
      <c r="C7" s="7" t="inlineStr">
        <is>
          <t>Nazionale</t>
        </is>
      </c>
      <c r="D7" s="7" t="inlineStr">
        <is>
          <t>Federazione e Ordini, professione, scienza e farmaci</t>
        </is>
      </c>
      <c r="E7" s="7" t="inlineStr">
        <is>
          <t>A</t>
        </is>
      </c>
      <c r="F7" s="7" t="inlineStr">
        <is>
          <t>Notizie quotidiane dalla FOFI: interviene il presidente FOFI Andrea Mandelli.</t>
        </is>
      </c>
      <c r="G7" s="8" t="inlineStr">
        <is>
          <t>https://www.ilfarmacistaonline.it/</t>
        </is>
      </c>
      <c r="H7" s="8" t="inlineStr">
        <is>
          <t>https://www.ilfarmacistaonline.it/redazione.php</t>
        </is>
      </c>
      <c r="I7" s="7" t="inlineStr"/>
      <c r="J7" s="7" t="inlineStr">
        <is>
          <t>La pagina redazione riporta solo l’indirizzo generale dell’editore, non della redazione: non raccolto (consultato 7 ott 2026).</t>
        </is>
      </c>
      <c r="K7" s="9" t="n"/>
      <c r="L7" s="9" t="n"/>
      <c r="M7" s="9" t="n"/>
      <c r="N7" s="10" t="n"/>
      <c r="O7" s="10" t="n"/>
      <c r="P7" s="9" t="n"/>
      <c r="Q7" s="9" t="n"/>
      <c r="R7" s="9" t="n"/>
    </row>
    <row r="8">
      <c r="A8" s="7" t="inlineStr">
        <is>
          <t>Innlifes</t>
        </is>
      </c>
      <c r="B8" s="7" t="inlineStr">
        <is>
          <t>Testata online sull’innovazione nelle scienze della vita</t>
        </is>
      </c>
      <c r="C8" s="7" t="inlineStr">
        <is>
          <t>Nazionale</t>
        </is>
      </c>
      <c r="D8" s="7" t="inlineStr">
        <is>
          <t>biotecnologie, startup, innovazione in salute</t>
        </is>
      </c>
      <c r="E8" s="7" t="inlineStr">
        <is>
          <t>A</t>
        </is>
      </c>
      <c r="F8" s="7" t="inlineStr">
        <is>
          <t>Ha già pubblicato un profilo del Presidente (29 ottobre 2025); segue biotecnologie e startup.</t>
        </is>
      </c>
      <c r="G8" s="8" t="inlineStr">
        <is>
          <t>https://www.innlifes.com/</t>
        </is>
      </c>
      <c r="H8" s="8" t="inlineStr">
        <is>
          <t>https://www.innlifes.com/contatti/</t>
        </is>
      </c>
      <c r="I8" s="7" t="inlineStr">
        <is>
          <t>redazione@innlifes.com</t>
        </is>
      </c>
      <c r="J8" s="8" t="inlineStr">
        <is>
          <t>https://www.innlifes.com/contatti/ (“Se vuoi segnalare un progetto, un evento o un comunicato stampa”; consultato 7 ott 2026)</t>
        </is>
      </c>
      <c r="K8" s="9" t="n"/>
      <c r="L8" s="9" t="n"/>
      <c r="M8" s="9" t="n"/>
      <c r="N8" s="10" t="n"/>
      <c r="O8" s="10" t="n"/>
      <c r="P8" s="9" t="n"/>
      <c r="Q8" s="9" t="n"/>
      <c r="R8" s="9" t="n"/>
    </row>
    <row r="9">
      <c r="A9" s="7" t="inlineStr">
        <is>
          <t>La Tecnica della Scuola</t>
        </is>
      </c>
      <c r="B9" s="7" t="inlineStr">
        <is>
          <t>Testata e casa editrice sulla scuola (sede a Catania)</t>
        </is>
      </c>
      <c r="C9" s="7" t="inlineStr">
        <is>
          <t>Nazionale</t>
        </is>
      </c>
      <c r="D9" s="7" t="inlineStr">
        <is>
          <t>scuola, docenti, concorsi, didattica</t>
        </is>
      </c>
      <c r="E9" s="7" t="inlineStr">
        <is>
          <t>A</t>
        </is>
      </c>
      <c r="F9" s="7" t="inlineStr">
        <is>
          <t>Informazione per il mondo della scuola: adatta al bando del programma scuole.</t>
        </is>
      </c>
      <c r="G9" s="8" t="inlineStr">
        <is>
          <t>https://www.tecnicadellascuola.it/</t>
        </is>
      </c>
      <c r="H9" s="8" t="inlineStr">
        <is>
          <t>https://www.tecnicadellascuola.it/contatti</t>
        </is>
      </c>
      <c r="I9" s="7" t="inlineStr">
        <is>
          <t>info@tecnicadellascuola.it</t>
        </is>
      </c>
      <c r="J9" s="8" t="inlineStr">
        <is>
          <t>https://www.tecnicadellascuola.it/contatti (indirizzo generale della casa editrice; consultato 7 ott 2026)</t>
        </is>
      </c>
      <c r="K9" s="9" t="n"/>
      <c r="L9" s="9" t="n"/>
      <c r="M9" s="9" t="n"/>
      <c r="N9" s="10" t="n"/>
      <c r="O9" s="10" t="n"/>
      <c r="P9" s="9" t="n"/>
      <c r="Q9" s="9" t="n"/>
      <c r="R9" s="9" t="n"/>
    </row>
    <row r="10">
      <c r="A10" s="7" t="inlineStr">
        <is>
          <t>Orizzonte Scuola</t>
        </is>
      </c>
      <c r="B10" s="7" t="inlineStr">
        <is>
          <t>Quotidiano online sulla scuola</t>
        </is>
      </c>
      <c r="C10" s="7" t="inlineStr">
        <is>
          <t>Nazionale</t>
        </is>
      </c>
      <c r="D10" s="7" t="inlineStr">
        <is>
          <t>scuola, docenti, studenti, normativa</t>
        </is>
      </c>
      <c r="E10" s="7" t="inlineStr">
        <is>
          <t>A</t>
        </is>
      </c>
      <c r="F10" s="7" t="inlineStr">
        <is>
          <t>Quotidiano online sulla scuola: canale per far conoscere il programma gratuito a docenti e dirigenti.</t>
        </is>
      </c>
      <c r="G10" s="8" t="inlineStr">
        <is>
          <t>https://www.orizzontescuola.it/</t>
        </is>
      </c>
      <c r="H10" s="7" t="inlineStr"/>
      <c r="I10" s="7" t="inlineStr"/>
      <c r="J10" s="7" t="inlineStr">
        <is>
          <t>Home e contatti protetti da verifica anti bot (403); sito verificato tramite feed https://www.orizzontescuola.it/feed/ (consultato 7 ott 2026).</t>
        </is>
      </c>
      <c r="K10" s="9" t="n"/>
      <c r="L10" s="9" t="n"/>
      <c r="M10" s="9" t="n"/>
      <c r="N10" s="10" t="n"/>
      <c r="O10" s="10" t="n"/>
      <c r="P10" s="9" t="n"/>
      <c r="Q10" s="9" t="n"/>
      <c r="R10" s="9" t="n"/>
    </row>
    <row r="11">
      <c r="A11" s="7" t="inlineStr">
        <is>
          <t>Skuola.net</t>
        </is>
      </c>
      <c r="B11" s="7" t="inlineStr">
        <is>
          <t>Portale per studenti</t>
        </is>
      </c>
      <c r="C11" s="7" t="inlineStr">
        <is>
          <t>Nazionale</t>
        </is>
      </c>
      <c r="D11" s="7" t="inlineStr">
        <is>
          <t>studenti, scuola, orientamento, università</t>
        </is>
      </c>
      <c r="E11" s="7" t="inlineStr">
        <is>
          <t>A</t>
        </is>
      </c>
      <c r="F11" s="7" t="inlineStr">
        <is>
          <t>Portale rivolto agli studenti: parla ai destinatari del programma.</t>
        </is>
      </c>
      <c r="G11" s="8" t="inlineStr">
        <is>
          <t>https://www.skuola.net/</t>
        </is>
      </c>
      <c r="H11" s="8" t="inlineStr">
        <is>
          <t>https://corporate.skuola.net/contatti/</t>
        </is>
      </c>
      <c r="I11" s="7" t="inlineStr">
        <is>
          <t>redazione@skuola.net</t>
        </is>
      </c>
      <c r="J11" s="8" t="inlineStr">
        <is>
          <t>https://corporate.skuola.net/contatti/ (consultato 7 ott 2026)</t>
        </is>
      </c>
      <c r="K11" s="9" t="n"/>
      <c r="L11" s="9" t="n"/>
      <c r="M11" s="9" t="n"/>
      <c r="N11" s="10" t="n"/>
      <c r="O11" s="10" t="n"/>
      <c r="P11" s="9" t="n"/>
      <c r="Q11" s="9" t="n"/>
      <c r="R11" s="9" t="n"/>
    </row>
    <row r="12">
      <c r="A12" s="7" t="inlineStr">
        <is>
          <t>Vita</t>
        </is>
      </c>
      <c r="B12" s="7" t="inlineStr">
        <is>
          <t>Magazine e portale del non profit</t>
        </is>
      </c>
      <c r="C12" s="7" t="inlineStr">
        <is>
          <t>Nazionale</t>
        </is>
      </c>
      <c r="D12" s="7" t="inlineStr">
        <is>
          <t>non profit, volontariato, welfare, salute, formazione</t>
        </is>
      </c>
      <c r="E12" s="7" t="inlineStr">
        <is>
          <t>A</t>
        </is>
      </c>
      <c r="F12" s="7" t="inlineStr">
        <is>
          <t>Testata del terzo settore: la Fondazione è un ETS e il programma scuole è gratuito.</t>
        </is>
      </c>
      <c r="G12" s="8" t="inlineStr">
        <is>
          <t>https://www.vita.it/</t>
        </is>
      </c>
      <c r="H12" s="8" t="inlineStr">
        <is>
          <t>https://www.vita.it/info-e-contatti/</t>
        </is>
      </c>
      <c r="I12" s="7" t="inlineStr">
        <is>
          <t>redazione@vita.it</t>
        </is>
      </c>
      <c r="J12" s="8" t="inlineStr">
        <is>
          <t>https://www.vita.it/info-e-contatti/ (voce “Redazione”; indirizzo protetto, decodificato; consultato 7 ott 2026)</t>
        </is>
      </c>
      <c r="K12" s="9" t="n"/>
      <c r="L12" s="9" t="n"/>
      <c r="M12" s="9" t="n"/>
      <c r="N12" s="10" t="n"/>
      <c r="O12" s="10" t="n"/>
      <c r="P12" s="9" t="n"/>
      <c r="Q12" s="9" t="n"/>
      <c r="R12" s="9" t="n"/>
    </row>
    <row r="13">
      <c r="A13" s="7" t="inlineStr">
        <is>
          <t>Telenorba (TG Norba)</t>
        </is>
      </c>
      <c r="B13" s="7" t="inlineStr">
        <is>
          <t>TV regionale e canale all news TG Norba 24</t>
        </is>
      </c>
      <c r="C13" s="7" t="inlineStr">
        <is>
          <t>Puglia (sede a Conversano, BA)</t>
        </is>
      </c>
      <c r="D13" s="7" t="inlineStr">
        <is>
          <t>cronaca, politica, attualità, eventi, sport</t>
        </is>
      </c>
      <c r="E13" s="7" t="inlineStr">
        <is>
          <t>A</t>
        </is>
      </c>
      <c r="F13" s="7" t="inlineStr">
        <is>
          <t>Ha dedicato un servizio all’incontro di Taranto del dicembre 2025 (Fondazione non nominata nel testo online); sezione “Eventi e incontri”.</t>
        </is>
      </c>
      <c r="G13" s="8" t="inlineStr">
        <is>
          <t>https://telenorba.it/</t>
        </is>
      </c>
      <c r="H13" s="8" t="inlineStr">
        <is>
          <t>https://telenorba.it/contatti/</t>
        </is>
      </c>
      <c r="I13" s="7" t="inlineStr"/>
      <c r="J13" s="7" t="inlineStr">
        <is>
          <t>Nessun indirizzo sulla pagina contatti; per gli eventi c’è il modulo https://telenorba.it/pubblica-il-tuo-evento/ (consultati 7 ott 2026).</t>
        </is>
      </c>
      <c r="K13" s="9" t="n"/>
      <c r="L13" s="9" t="n"/>
      <c r="M13" s="9" t="n"/>
      <c r="N13" s="10" t="n"/>
      <c r="O13" s="10" t="n"/>
      <c r="P13" s="9" t="n"/>
      <c r="Q13" s="9" t="n"/>
      <c r="R13" s="9" t="n"/>
    </row>
    <row r="14">
      <c r="A14" s="7" t="inlineStr">
        <is>
          <t>ANSA Puglia</t>
        </is>
      </c>
      <c r="B14" s="7" t="inlineStr">
        <is>
          <t>Agenzia di stampa, redazione regionale</t>
        </is>
      </c>
      <c r="C14" s="7" t="inlineStr">
        <is>
          <t>Puglia (sede di Bari)</t>
        </is>
      </c>
      <c r="D14" s="7" t="inlineStr">
        <is>
          <t>cronaca, politica, sanità regionale, economia</t>
        </is>
      </c>
      <c r="E14" s="7" t="inlineStr">
        <is>
          <t>A</t>
        </is>
      </c>
      <c r="F14" s="7" t="inlineStr">
        <is>
          <t>Un lancio ANSA viene ripreso da molte testate locali e nazionali.</t>
        </is>
      </c>
      <c r="G14" s="8" t="inlineStr">
        <is>
          <t>https://www.ansa.it/puglia/</t>
        </is>
      </c>
      <c r="H14" s="8" t="inlineStr">
        <is>
          <t>https://www.ansa.it/corporate/it/info/dove_siamo.html</t>
        </is>
      </c>
      <c r="I14" s="7" t="inlineStr">
        <is>
          <t>ansa.bari@ansa.it</t>
        </is>
      </c>
      <c r="J14" s="8" t="inlineStr">
        <is>
          <t>https://www.ansa.it/puglia/ (box contatti della redazione regionale, con indirizzo di Bari confermato da dove_siamo.html; consultati 7 ott 2026)</t>
        </is>
      </c>
      <c r="K14" s="9" t="n"/>
      <c r="L14" s="9" t="n"/>
      <c r="M14" s="9" t="n"/>
      <c r="N14" s="10" t="n"/>
      <c r="O14" s="10" t="n"/>
      <c r="P14" s="9" t="n"/>
      <c r="Q14" s="9" t="n"/>
      <c r="R14" s="9" t="n"/>
    </row>
    <row r="15">
      <c r="A15" s="7" t="inlineStr">
        <is>
          <t>La Gazzetta del Mezzogiorno</t>
        </is>
      </c>
      <c r="B15" s="7" t="inlineStr">
        <is>
          <t>Quotidiano regionale con edizioni provinciali</t>
        </is>
      </c>
      <c r="C15" s="7" t="inlineStr">
        <is>
          <t>Puglia e Basilicata; redazione di Taranto</t>
        </is>
      </c>
      <c r="D15" s="7" t="inlineStr">
        <is>
          <t>cronaca, politica, economia, salute, sport</t>
        </is>
      </c>
      <c r="E15" s="7" t="inlineStr">
        <is>
          <t>A</t>
        </is>
      </c>
      <c r="F15" s="7" t="inlineStr">
        <is>
          <t>Quotidiano regionale con redazione a Taranto e sezione salute; ha già scritto del Presidente (17 ottobre 2022).</t>
        </is>
      </c>
      <c r="G15" s="8" t="inlineStr">
        <is>
          <t>https://www.lagazzettadelmezzogiorno.it/</t>
        </is>
      </c>
      <c r="H15" s="8" t="inlineStr">
        <is>
          <t>https://www.lagazzettadelmezzogiorno.it/sezioni/477/info-e-contatti</t>
        </is>
      </c>
      <c r="I15" s="7" t="inlineStr">
        <is>
          <t>redazione.taranto@gazzettamezzogiorno.it; sport@gazzettamezzogiorno.it</t>
        </is>
      </c>
      <c r="J15" s="8" t="inlineStr">
        <is>
          <t>https://www.lagazzettadelmezzogiorno.it/sezioni/477/info-e-contatti (voci “Gazzetta Taranto” e “Sport”; consultato 7 ott 2026)</t>
        </is>
      </c>
      <c r="K15" s="9" t="n"/>
      <c r="L15" s="9" t="n"/>
      <c r="M15" s="9" t="n"/>
      <c r="N15" s="10" t="n"/>
      <c r="O15" s="10" t="n"/>
      <c r="P15" s="9" t="n"/>
      <c r="Q15" s="9" t="n"/>
      <c r="R15" s="9" t="n"/>
    </row>
    <row r="16">
      <c r="A16" s="7" t="inlineStr">
        <is>
          <t>TGR Puglia (Rai)</t>
        </is>
      </c>
      <c r="B16" s="7" t="inlineStr">
        <is>
          <t>Telegiornale regionale Rai</t>
        </is>
      </c>
      <c r="C16" s="7" t="inlineStr">
        <is>
          <t>Puglia, sede di Bari</t>
        </is>
      </c>
      <c r="D16" s="7" t="inlineStr">
        <is>
          <t>cronaca, politica, economia, cultura, sport</t>
        </is>
      </c>
      <c r="E16" s="7" t="inlineStr">
        <is>
          <t>A</t>
        </is>
      </c>
      <c r="F16" s="7" t="inlineStr">
        <is>
          <t>Servizio pubblico regionale: copertura televisiva e immagini delle due giornate.</t>
        </is>
      </c>
      <c r="G16" s="8" t="inlineStr">
        <is>
          <t>https://www.rainews.it/tgr/puglia</t>
        </is>
      </c>
      <c r="H16" s="8" t="inlineStr">
        <is>
          <t>https://www.rainews.it/tgr/chi-siamo.html</t>
        </is>
      </c>
      <c r="I16" s="7" t="inlineStr">
        <is>
          <t>tgrpuglia@rai.it</t>
        </is>
      </c>
      <c r="J16" s="8" t="inlineStr">
        <is>
          <t>https://www.rainews.it/tgr/chi-siamo.html (elenco redazioni, voce “Puglia”; consultato 7 ott 2026)</t>
        </is>
      </c>
      <c r="K16" s="9" t="n"/>
      <c r="L16" s="9" t="n"/>
      <c r="M16" s="9" t="n"/>
      <c r="N16" s="10" t="n"/>
      <c r="O16" s="10" t="n"/>
      <c r="P16" s="9" t="n"/>
      <c r="Q16" s="9" t="n"/>
      <c r="R16" s="9" t="n"/>
    </row>
    <row r="17">
      <c r="A17" s="7" t="inlineStr">
        <is>
          <t>Corriere di Taranto</t>
        </is>
      </c>
      <c r="B17" s="7" t="inlineStr">
        <is>
          <t>Quotidiano online</t>
        </is>
      </c>
      <c r="C17" s="7" t="inlineStr">
        <is>
          <t>Taranto</t>
        </is>
      </c>
      <c r="D17" s="7" t="inlineStr">
        <is>
          <t>politica e amministrazione, industria, cronaca, cultura</t>
        </is>
      </c>
      <c r="E17" s="7" t="inlineStr">
        <is>
          <t>A</t>
        </is>
      </c>
      <c r="F17" s="7" t="inlineStr">
        <is>
          <t>Testata cittadina attenta a politica locale e industria: adatta al racconto dell’evento a Taranto.</t>
        </is>
      </c>
      <c r="G17" s="8" t="inlineStr">
        <is>
          <t>https://www.corriereditaranto.it/</t>
        </is>
      </c>
      <c r="H17" s="7" t="inlineStr"/>
      <c r="I17" s="7" t="inlineStr">
        <is>
          <t>redazione@corriereditaranto.it</t>
        </is>
      </c>
      <c r="J17" s="8" t="inlineStr">
        <is>
          <t>https://www.corriereditaranto.it/ (footer, voce “Comunica con noi”; indirizzo protetto da Cloudflare, decodificato; /contatti/ rimanda alla home; consultato 7 ott 2026)</t>
        </is>
      </c>
      <c r="K17" s="9" t="n"/>
      <c r="L17" s="9" t="n"/>
      <c r="M17" s="9" t="n"/>
      <c r="N17" s="10" t="n"/>
      <c r="O17" s="10" t="n"/>
      <c r="P17" s="9" t="n"/>
      <c r="Q17" s="9" t="n"/>
      <c r="R17" s="9" t="n"/>
    </row>
    <row r="18">
      <c r="A18" s="7" t="inlineStr">
        <is>
          <t>TarantoToday</t>
        </is>
      </c>
      <c r="B18" s="7" t="inlineStr">
        <is>
          <t>Quotidiano digitale (rete Citynews)</t>
        </is>
      </c>
      <c r="C18" s="7" t="inlineStr">
        <is>
          <t>Taranto e provincia</t>
        </is>
      </c>
      <c r="D18" s="7" t="inlineStr">
        <is>
          <t>cronaca, attualità, salute, sport, eventi</t>
        </is>
      </c>
      <c r="E18" s="7" t="inlineStr">
        <is>
          <t>A</t>
        </is>
      </c>
      <c r="F18" s="7" t="inlineStr">
        <is>
          <t>Ha già scritto della Fondazione (22 aprile 2025); accoglie segnalazioni di eventi.</t>
        </is>
      </c>
      <c r="G18" s="8" t="inlineStr">
        <is>
          <t>https://www.tarantotoday.it/</t>
        </is>
      </c>
      <c r="H18" s="8" t="inlineStr">
        <is>
          <t>https://www.citynews.it/gruppo/redazioni/tarantotoday.html</t>
        </is>
      </c>
      <c r="I18" s="7" t="inlineStr">
        <is>
          <t>tarantotoday@citynews.it</t>
        </is>
      </c>
      <c r="J18" s="8" t="inlineStr">
        <is>
          <t>https://www.citynews.it/gruppo/redazioni/tarantotoday.html (“Scrivi alla redazione per segnalare notizie ed eventi”; consultato 7 ott 2026)</t>
        </is>
      </c>
      <c r="K18" s="9" t="n"/>
      <c r="L18" s="9" t="n"/>
      <c r="M18" s="9" t="n"/>
      <c r="N18" s="10" t="n"/>
      <c r="O18" s="10" t="n"/>
      <c r="P18" s="9" t="n"/>
      <c r="Q18" s="9" t="n"/>
      <c r="R18" s="9" t="n"/>
    </row>
    <row r="19">
      <c r="A19" s="7" t="inlineStr">
        <is>
          <t>Buonasera24 (testata “Buonasera”)</t>
        </is>
      </c>
      <c r="B19" s="7" t="inlineStr">
        <is>
          <t>Testata locale online, con gallery e video</t>
        </is>
      </c>
      <c r="C19" s="7" t="inlineStr">
        <is>
          <t>Taranto; anche Bari, BAT, Lecce, Brindisi</t>
        </is>
      </c>
      <c r="D19" s="7" t="inlineStr">
        <is>
          <t>cronaca, politica, attualità, scuola, sanità</t>
        </is>
      </c>
      <c r="E19" s="7" t="inlineStr">
        <is>
          <t>A</t>
        </is>
      </c>
      <c r="F19" s="7" t="inlineStr">
        <is>
          <t>Ha già scritto del Presidente (2022), della Fondazione (2025) e della rete delle scuole (22 settembre 2026).</t>
        </is>
      </c>
      <c r="G19" s="8" t="inlineStr">
        <is>
          <t>https://www.buonasera24.it/</t>
        </is>
      </c>
      <c r="H19" s="7" t="inlineStr"/>
      <c r="I19" s="7" t="inlineStr">
        <is>
          <t>redazione.taranto@buonasera24.it</t>
        </is>
      </c>
      <c r="J19" s="8" t="inlineStr">
        <is>
          <t>https://www.buonasera24.it/ (footer del sito, voce “Email”; la pagina /contatti risponde 404; consultato 7 ott 2026)</t>
        </is>
      </c>
      <c r="K19" s="9" t="n"/>
      <c r="L19" s="9" t="n"/>
      <c r="M19" s="9" t="n"/>
      <c r="N19" s="10" t="n"/>
      <c r="O19" s="10" t="n"/>
      <c r="P19" s="9" t="n"/>
      <c r="Q19" s="9" t="n"/>
      <c r="R19" s="9" t="n"/>
    </row>
    <row r="20">
      <c r="A20" s="7" t="inlineStr">
        <is>
          <t>Studio 100 TV</t>
        </is>
      </c>
      <c r="B20" s="7" t="inlineStr">
        <is>
          <t>TV locale (canale 98) e sito di notizie</t>
        </is>
      </c>
      <c r="C20" s="7" t="inlineStr">
        <is>
          <t>Taranto; anche Brindisi, BAT e Bari</t>
        </is>
      </c>
      <c r="D20" s="7" t="inlineStr">
        <is>
          <t>telegiornale, sport, salute, eventi</t>
        </is>
      </c>
      <c r="E20" s="7" t="inlineStr">
        <is>
          <t>A</t>
        </is>
      </c>
      <c r="F20" s="7" t="inlineStr">
        <is>
          <t>Si presenta come “la storica TV di Taranto”; ha seguito i Taranto Biotech Days 2024 e la presentazione a Montecitorio (29 ottobre 2025).</t>
        </is>
      </c>
      <c r="G20" s="8" t="inlineStr">
        <is>
          <t>https://www.studio100.it/</t>
        </is>
      </c>
      <c r="H20" s="8" t="inlineStr">
        <is>
          <t>https://www.studio100.it/contatti/</t>
        </is>
      </c>
      <c r="I20" s="7" t="inlineStr">
        <is>
          <t>redazione@studio100.it</t>
        </is>
      </c>
      <c r="J20" s="8" t="inlineStr">
        <is>
          <t>https://www.studio100.it/contatti/ (voce “Redazione”; consultato 7 ott 2026)</t>
        </is>
      </c>
      <c r="K20" s="9" t="n"/>
      <c r="L20" s="9" t="n"/>
      <c r="M20" s="9" t="n"/>
      <c r="N20" s="10" t="n"/>
      <c r="O20" s="10" t="n"/>
      <c r="P20" s="9" t="n"/>
      <c r="Q20" s="9" t="n"/>
      <c r="R20" s="9" t="n"/>
    </row>
    <row r="21">
      <c r="A21" s="7" t="inlineStr">
        <is>
          <t>la Repubblica Bari</t>
        </is>
      </c>
      <c r="B21" s="7" t="inlineStr">
        <is>
          <t>Edizione locale di quotidiano nazionale</t>
        </is>
      </c>
      <c r="C21" s="7" t="inlineStr">
        <is>
          <t>Bari e Puglia</t>
        </is>
      </c>
      <c r="D21" s="7" t="inlineStr">
        <is>
          <t>cronaca, politica, cultura</t>
        </is>
      </c>
      <c r="E21" s="7" t="inlineStr">
        <is>
          <t>B</t>
        </is>
      </c>
      <c r="F21" s="7" t="inlineStr">
        <is>
          <t>Edizione regionale di un quotidiano nazionale: adatta a una notizia di respiro pugliese.</t>
        </is>
      </c>
      <c r="G21" s="8" t="inlineStr">
        <is>
          <t>https://bari.repubblica.it/</t>
        </is>
      </c>
      <c r="H21" s="8" t="inlineStr">
        <is>
          <t>https://www.repubblica.it/static/servizi/scrivi.html</t>
        </is>
      </c>
      <c r="I21" s="7" t="inlineStr"/>
      <c r="J21" s="7" t="inlineStr">
        <is>
          <t>La pagina “Scrivi alla redazione” riporta solo indirizzi nazionali, non della redazione di Bari (consultato 7 ott 2026).</t>
        </is>
      </c>
      <c r="K21" s="9" t="n"/>
      <c r="L21" s="9" t="n"/>
      <c r="M21" s="9" t="n"/>
      <c r="N21" s="10" t="n"/>
      <c r="O21" s="10" t="n"/>
      <c r="P21" s="9" t="n"/>
      <c r="Q21" s="9" t="n"/>
      <c r="R21" s="9" t="n"/>
    </row>
    <row r="22">
      <c r="A22" s="7" t="inlineStr">
        <is>
          <t>TeleRama News (TRNews)</t>
        </is>
      </c>
      <c r="B22" s="7" t="inlineStr">
        <is>
          <t>TV regionale TeleRama e sito di notizie</t>
        </is>
      </c>
      <c r="C22" s="7" t="inlineStr">
        <is>
          <t>Lecce, Brindisi, Taranto, Bari</t>
        </is>
      </c>
      <c r="D22" s="7" t="inlineStr">
        <is>
          <t>cronaca, politica, sport, attualità, eventi</t>
        </is>
      </c>
      <c r="E22" s="7" t="inlineStr">
        <is>
          <t>B</t>
        </is>
      </c>
      <c r="F22" s="7" t="inlineStr">
        <is>
          <t>Ha dedicato un servizio TV alla rete delle scuole (24 settembre 2026), senza nominare la Fondazione nel testo online.</t>
        </is>
      </c>
      <c r="G22" s="8" t="inlineStr">
        <is>
          <t>https://trnews.it/</t>
        </is>
      </c>
      <c r="H22" s="8" t="inlineStr">
        <is>
          <t>https://trnews.it/redazione</t>
        </is>
      </c>
      <c r="I22" s="7" t="inlineStr"/>
      <c r="J22" s="7" t="inlineStr">
        <is>
          <t>La pagina redazione non riporta un indirizzo generico; c’è il canale “Dillo a TeleRama” (consultato 7 ott 2026).</t>
        </is>
      </c>
      <c r="K22" s="9" t="n"/>
      <c r="L22" s="9" t="n"/>
      <c r="M22" s="9" t="n"/>
      <c r="N22" s="10" t="n"/>
      <c r="O22" s="10" t="n"/>
      <c r="P22" s="9" t="n"/>
      <c r="Q22" s="9" t="n"/>
      <c r="R22" s="9" t="n"/>
    </row>
    <row r="23">
      <c r="A23" s="7" t="inlineStr">
        <is>
          <t>AI4Business</t>
        </is>
      </c>
      <c r="B23" s="7" t="inlineStr">
        <is>
          <t>Testata online sull’intelligenza artificiale (Network Digital360)</t>
        </is>
      </c>
      <c r="C23" s="7" t="inlineStr">
        <is>
          <t>Nazionale</t>
        </is>
      </c>
      <c r="D23" s="7" t="inlineStr">
        <is>
          <t>intelligenza artificiale, impresa</t>
        </is>
      </c>
      <c r="E23" s="7" t="inlineStr">
        <is>
          <t>B</t>
        </is>
      </c>
      <c r="F23" s="7" t="inlineStr">
        <is>
          <t>Dedicata all’IA: adatta ai panel su IA e salute e al programma scuole.</t>
        </is>
      </c>
      <c r="G23" s="8" t="inlineStr">
        <is>
          <t>https://www.ai4business.it/</t>
        </is>
      </c>
      <c r="H23" s="8" t="inlineStr">
        <is>
          <t>https://www.ai4business.it/about/</t>
        </is>
      </c>
      <c r="I23" s="7" t="inlineStr">
        <is>
          <t>redazione@ai4business.it</t>
        </is>
      </c>
      <c r="J23" s="8" t="inlineStr">
        <is>
          <t>https://www.ai4business.it/about/ (“Segreteria di redazione”; consultato 7 ott 2026)</t>
        </is>
      </c>
      <c r="K23" s="9" t="n"/>
      <c r="L23" s="9" t="n"/>
      <c r="M23" s="9" t="n"/>
      <c r="N23" s="10" t="n"/>
      <c r="O23" s="10" t="n"/>
      <c r="P23" s="9" t="n"/>
      <c r="Q23" s="9" t="n"/>
      <c r="R23" s="9" t="n"/>
    </row>
    <row r="24">
      <c r="A24" s="7" t="inlineStr">
        <is>
          <t>Avvenire</t>
        </is>
      </c>
      <c r="B24" s="7" t="inlineStr">
        <is>
          <t>Quotidiano nazionale</t>
        </is>
      </c>
      <c r="C24" s="7" t="inlineStr">
        <is>
          <t>Nazionale</t>
        </is>
      </c>
      <c r="D24" s="7" t="inlineStr">
        <is>
          <t>cronache nazionali, cultura e sport, informazione religiosa</t>
        </is>
      </c>
      <c r="E24" s="7" t="inlineStr">
        <is>
          <t>B</t>
        </is>
      </c>
      <c r="F24" s="7" t="inlineStr">
        <is>
          <t>Quotidiano nazionale con redazioni per cronache e per cultura e sport.</t>
        </is>
      </c>
      <c r="G24" s="8" t="inlineStr">
        <is>
          <t>https://www.avvenire.it/</t>
        </is>
      </c>
      <c r="H24" s="8" t="inlineStr">
        <is>
          <t>https://www.avvenire.it/info/contatti</t>
        </is>
      </c>
      <c r="I24" s="7" t="inlineStr">
        <is>
          <t>segreteria.redazione@avvenire.it; interni@avvenire.it</t>
        </is>
      </c>
      <c r="J24" s="8" t="inlineStr">
        <is>
          <t>https://www.avvenire.it/info/contatti (voci “Segreteria di redazione” e “Cronache nazionali”; consultato 7 ott 2026)</t>
        </is>
      </c>
      <c r="K24" s="9" t="n"/>
      <c r="L24" s="9" t="n"/>
      <c r="M24" s="9" t="n"/>
      <c r="N24" s="10" t="n"/>
      <c r="O24" s="10" t="n"/>
      <c r="P24" s="9" t="n"/>
      <c r="Q24" s="9" t="n"/>
      <c r="R24" s="9" t="n"/>
    </row>
    <row r="25">
      <c r="A25" s="7" t="inlineStr">
        <is>
          <t>Buone Notizie (Corriere della Sera)</t>
        </is>
      </c>
      <c r="B25" s="7" t="inlineStr">
        <is>
          <t>Sezione del Corriere della Sera dedicata al terzo settore</t>
        </is>
      </c>
      <c r="C25" s="7" t="inlineStr">
        <is>
          <t>Nazionale</t>
        </is>
      </c>
      <c r="D25" s="7" t="inlineStr">
        <is>
          <t>associazioni, volontariato, terzo settore</t>
        </is>
      </c>
      <c r="E25" s="7" t="inlineStr">
        <is>
          <t>B</t>
        </is>
      </c>
      <c r="F25" s="7" t="inlineStr">
        <is>
          <t>Valorizza realtà del terzo settore: adatta alla storia di una fondazione ETS di Taranto.</t>
        </is>
      </c>
      <c r="G25" s="8" t="inlineStr">
        <is>
          <t>https://www.corriere.it/buone-notizie/</t>
        </is>
      </c>
      <c r="H25" s="8" t="inlineStr">
        <is>
          <t>https://www.corriere.it/buone-notizie/chi-siamo.shtml</t>
        </is>
      </c>
      <c r="I25" s="7" t="inlineStr">
        <is>
          <t>buonenotizie@corriere.it</t>
        </is>
      </c>
      <c r="J25" s="8" t="inlineStr">
        <is>
          <t>https://www.corriere.it/buone-notizie/chi-siamo.shtml (“puoi segnalarla a”; consultato 7 ott 2026)</t>
        </is>
      </c>
      <c r="K25" s="9" t="n"/>
      <c r="L25" s="9" t="n"/>
      <c r="M25" s="9" t="n"/>
      <c r="N25" s="10" t="n"/>
      <c r="O25" s="10" t="n"/>
      <c r="P25" s="9" t="n"/>
      <c r="Q25" s="9" t="n"/>
      <c r="R25" s="9" t="n"/>
    </row>
    <row r="26">
      <c r="A26" s="7" t="inlineStr">
        <is>
          <t>EconomyUp</t>
        </is>
      </c>
      <c r="B26" s="7" t="inlineStr">
        <is>
          <t>Testata online (Network Digital360)</t>
        </is>
      </c>
      <c r="C26" s="7" t="inlineStr">
        <is>
          <t>Nazionale</t>
        </is>
      </c>
      <c r="D26" s="7" t="inlineStr">
        <is>
          <t>innovazione, startup, impresa</t>
        </is>
      </c>
      <c r="E26" s="7" t="inlineStr">
        <is>
          <t>B</t>
        </is>
      </c>
      <c r="F26" s="7" t="inlineStr">
        <is>
          <t>Racconta innovazione e startup: angolo biotecnologie e IA a Taranto.</t>
        </is>
      </c>
      <c r="G26" s="8" t="inlineStr">
        <is>
          <t>https://www.economyup.it/</t>
        </is>
      </c>
      <c r="H26" s="8" t="inlineStr">
        <is>
          <t>https://www.economyup.it/about/</t>
        </is>
      </c>
      <c r="I26" s="7" t="inlineStr">
        <is>
          <t>redazione@economyup.it</t>
        </is>
      </c>
      <c r="J26" s="8" t="inlineStr">
        <is>
          <t>https://www.economyup.it/about/ (consultato 7 ott 2026)</t>
        </is>
      </c>
      <c r="K26" s="9" t="n"/>
      <c r="L26" s="9" t="n"/>
      <c r="M26" s="9" t="n"/>
      <c r="N26" s="10" t="n"/>
      <c r="O26" s="10" t="n"/>
      <c r="P26" s="9" t="n"/>
      <c r="Q26" s="9" t="n"/>
      <c r="R26" s="9" t="n"/>
    </row>
    <row r="27">
      <c r="A27" s="7" t="inlineStr">
        <is>
          <t>Farmacista33</t>
        </is>
      </c>
      <c r="B27" s="7" t="inlineStr">
        <is>
          <t>Portale di informazione per farmacisti</t>
        </is>
      </c>
      <c r="C27" s="7" t="inlineStr">
        <is>
          <t>Nazionale</t>
        </is>
      </c>
      <c r="D27" s="7" t="inlineStr">
        <is>
          <t>professione, farmaci, aggiornamento</t>
        </is>
      </c>
      <c r="E27" s="7" t="inlineStr">
        <is>
          <t>B</t>
        </is>
      </c>
      <c r="F27" s="7" t="inlineStr">
        <is>
          <t>Portale per farmacisti: aggancio con l’intervento del presidente FOFI.</t>
        </is>
      </c>
      <c r="G27" s="8" t="inlineStr">
        <is>
          <t>https://www.farmacista33.it/</t>
        </is>
      </c>
      <c r="H27" s="8" t="inlineStr">
        <is>
          <t>https://www.farmacista33.it/contatti/</t>
        </is>
      </c>
      <c r="I27" s="7" t="inlineStr"/>
      <c r="J27" s="7" t="inlineStr">
        <is>
          <t>Solo modulo contatti, nessun indirizzo (consultato 7 ott 2026).</t>
        </is>
      </c>
      <c r="K27" s="9" t="n"/>
      <c r="L27" s="9" t="n"/>
      <c r="M27" s="9" t="n"/>
      <c r="N27" s="10" t="n"/>
      <c r="O27" s="10" t="n"/>
      <c r="P27" s="9" t="n"/>
      <c r="Q27" s="9" t="n"/>
      <c r="R27" s="9" t="n"/>
    </row>
    <row r="28">
      <c r="A28" s="7" t="inlineStr">
        <is>
          <t>HealthTech 360</t>
        </is>
      </c>
      <c r="B28" s="7" t="inlineStr">
        <is>
          <t>Testata online (Network Digital360)</t>
        </is>
      </c>
      <c r="C28" s="7" t="inlineStr">
        <is>
          <t>Nazionale</t>
        </is>
      </c>
      <c r="D28" s="7" t="inlineStr">
        <is>
          <t>sanità digitale, innovazione, dispositivi indossabili</t>
        </is>
      </c>
      <c r="E28" s="7" t="inlineStr">
        <is>
          <t>B</t>
        </is>
      </c>
      <c r="F28" s="7" t="inlineStr">
        <is>
          <t>Sanità digitale e intelligenza artificiale: angolo tecnologico della prima giornata.</t>
        </is>
      </c>
      <c r="G28" s="8" t="inlineStr">
        <is>
          <t>https://www.healthtech360.it/</t>
        </is>
      </c>
      <c r="H28" s="8" t="inlineStr">
        <is>
          <t>https://www.healthtech360.it/about/</t>
        </is>
      </c>
      <c r="I28" s="7" t="inlineStr">
        <is>
          <t>info@healthtech360.it</t>
        </is>
      </c>
      <c r="J28" s="8" t="inlineStr">
        <is>
          <t>https://www.healthtech360.it/about/ (“Segreteria di redazione”; consultato 7 ott 2026)</t>
        </is>
      </c>
      <c r="K28" s="9" t="n"/>
      <c r="L28" s="9" t="n"/>
      <c r="M28" s="9" t="n"/>
      <c r="N28" s="10" t="n"/>
      <c r="O28" s="10" t="n"/>
      <c r="P28" s="9" t="n"/>
      <c r="Q28" s="9" t="n"/>
      <c r="R28" s="9" t="n"/>
    </row>
    <row r="29">
      <c r="A29" s="7" t="inlineStr">
        <is>
          <t>Insalutenews</t>
        </is>
      </c>
      <c r="B29" s="7" t="inlineStr">
        <is>
          <t>Quotidiano online di informazione medica</t>
        </is>
      </c>
      <c r="C29" s="7" t="inlineStr">
        <is>
          <t>Nazionale</t>
        </is>
      </c>
      <c r="D29" s="7" t="inlineStr">
        <is>
          <t>medicina, prevenzione, ricerca</t>
        </is>
      </c>
      <c r="E29" s="7" t="inlineStr">
        <is>
          <t>B</t>
        </is>
      </c>
      <c r="F29" s="7" t="inlineStr">
        <is>
          <t>Pubblica notizie di prevenzione e ricerca per il pubblico generale.</t>
        </is>
      </c>
      <c r="G29" s="8" t="inlineStr">
        <is>
          <t>https://www.insalutenews.it/in-salute/</t>
        </is>
      </c>
      <c r="H29" s="8" t="inlineStr">
        <is>
          <t>https://www.insalutenews.it/in-salute/contatti/</t>
        </is>
      </c>
      <c r="I29" s="7" t="inlineStr">
        <is>
          <t>redazione@insalutenews.it</t>
        </is>
      </c>
      <c r="J29" s="8" t="inlineStr">
        <is>
          <t>https://www.insalutenews.it/in-salute/contatti/ (voce “Redazione”; consultato 7 ott 2026)</t>
        </is>
      </c>
      <c r="K29" s="9" t="n"/>
      <c r="L29" s="9" t="n"/>
      <c r="M29" s="9" t="n"/>
      <c r="N29" s="10" t="n"/>
      <c r="O29" s="10" t="n"/>
      <c r="P29" s="9" t="n"/>
      <c r="Q29" s="9" t="n"/>
      <c r="R29" s="9" t="n"/>
    </row>
    <row r="30">
      <c r="A30" s="7" t="inlineStr">
        <is>
          <t>OA Sport</t>
        </is>
      </c>
      <c r="B30" s="7" t="inlineStr">
        <is>
          <t>Testata online di sport olimpici</t>
        </is>
      </c>
      <c r="C30" s="7" t="inlineStr">
        <is>
          <t>Nazionale</t>
        </is>
      </c>
      <c r="D30" s="7" t="inlineStr">
        <is>
          <t>discipline olimpiche (nuoto, ginnastica, atletica e altre)</t>
        </is>
      </c>
      <c r="E30" s="7" t="inlineStr">
        <is>
          <t>B</t>
        </is>
      </c>
      <c r="F30" s="7" t="inlineStr">
        <is>
          <t>Segue le discipline olimpiche: tra i relatori Aldo Montano, Valentina Vezzali, Agostino Abbagnale, Manuel Bortuzzo.</t>
        </is>
      </c>
      <c r="G30" s="8" t="inlineStr">
        <is>
          <t>https://www.oasport.it/</t>
        </is>
      </c>
      <c r="H30" s="8" t="inlineStr">
        <is>
          <t>https://www.oasport.it/chi-siamo/</t>
        </is>
      </c>
      <c r="I30" s="7" t="inlineStr"/>
      <c r="J30" s="7" t="inlineStr">
        <is>
          <t>La pagina “Chi siamo” non riporta indirizzi (consultato 7 ott 2026).</t>
        </is>
      </c>
      <c r="K30" s="9" t="n"/>
      <c r="L30" s="9" t="n"/>
      <c r="M30" s="9" t="n"/>
      <c r="N30" s="10" t="n"/>
      <c r="O30" s="10" t="n"/>
      <c r="P30" s="9" t="n"/>
      <c r="Q30" s="9" t="n"/>
      <c r="R30" s="9" t="n"/>
    </row>
    <row r="31">
      <c r="A31" s="7" t="inlineStr">
        <is>
          <t>Osservatorio Terapie Avanzate</t>
        </is>
      </c>
      <c r="B31" s="7" t="inlineStr">
        <is>
          <t>Portale di informazione (RARE LAB S.r.l.)</t>
        </is>
      </c>
      <c r="C31" s="7" t="inlineStr">
        <is>
          <t>Nazionale</t>
        </is>
      </c>
      <c r="D31" s="7" t="inlineStr">
        <is>
          <t>terapie cellulari e geniche, editing genomico, terapie digitali</t>
        </is>
      </c>
      <c r="E31" s="7" t="inlineStr">
        <is>
          <t>B</t>
        </is>
      </c>
      <c r="F31" s="7" t="inlineStr">
        <is>
          <t>Ha segnalato in agenda i Taranto Biotech Days 2024; segue terapie cellulari e geniche, temi vicini alla missione della Fondazione.</t>
        </is>
      </c>
      <c r="G31" s="8" t="inlineStr">
        <is>
          <t>https://www.osservatorioterapieavanzate.it/</t>
        </is>
      </c>
      <c r="H31" s="7" t="inlineStr"/>
      <c r="I31" s="7" t="inlineStr"/>
      <c r="J31" s="7" t="inlineStr">
        <is>
          <t>Pagina contatti non aperta (protezione anti robot); l’indirizzo email è oscurato sul sito (consultato 7 ott 2026).</t>
        </is>
      </c>
      <c r="K31" s="9" t="n"/>
      <c r="L31" s="9" t="n"/>
      <c r="M31" s="9" t="n"/>
      <c r="N31" s="10" t="n"/>
      <c r="O31" s="10" t="n"/>
      <c r="P31" s="9" t="n"/>
      <c r="Q31" s="9" t="n"/>
      <c r="R31" s="9" t="n"/>
    </row>
    <row r="32">
      <c r="A32" s="7" t="inlineStr">
        <is>
          <t>Pianeta Salute</t>
        </is>
      </c>
      <c r="B32" s="7" t="inlineStr">
        <is>
          <t>Magazine online di Pianeta Salute TV</t>
        </is>
      </c>
      <c r="C32" s="7" t="inlineStr">
        <is>
          <t>Nazionale</t>
        </is>
      </c>
      <c r="D32" s="7" t="inlineStr">
        <is>
          <t>salute, ricerca, sanità, sport</t>
        </is>
      </c>
      <c r="E32" s="7" t="inlineStr">
        <is>
          <t>B</t>
        </is>
      </c>
      <c r="F32" s="7" t="inlineStr">
        <is>
          <t>Ha già presentato la Fondazione (3 novembre 2025); unisce salute e sport.</t>
        </is>
      </c>
      <c r="G32" s="8" t="inlineStr">
        <is>
          <t>https://pianetasalute.online/</t>
        </is>
      </c>
      <c r="H32" s="8" t="inlineStr">
        <is>
          <t>https://pianetasalute.online/contatti/</t>
        </is>
      </c>
      <c r="I32" s="7" t="inlineStr">
        <is>
          <t>info@pianetasalute.online</t>
        </is>
      </c>
      <c r="J32" s="8" t="inlineStr">
        <is>
          <t>https://pianetasalute.online/contatti/ (“Per mettersi in contatto con la Redazione”; consultato 7 ott 2026)</t>
        </is>
      </c>
      <c r="K32" s="9" t="n"/>
      <c r="L32" s="9" t="n"/>
      <c r="M32" s="9" t="n"/>
      <c r="N32" s="10" t="n"/>
      <c r="O32" s="10" t="n"/>
      <c r="P32" s="9" t="n"/>
      <c r="Q32" s="9" t="n"/>
      <c r="R32" s="9" t="n"/>
    </row>
    <row r="33">
      <c r="A33" s="7" t="inlineStr">
        <is>
          <t>Quotidiano Sanità</t>
        </is>
      </c>
      <c r="B33" s="7" t="inlineStr">
        <is>
          <t>Quotidiano online di informazione sanitaria</t>
        </is>
      </c>
      <c r="C33" s="7" t="inlineStr">
        <is>
          <t>Nazionale</t>
        </is>
      </c>
      <c r="D33" s="7" t="inlineStr">
        <is>
          <t>politica sanitaria, professioni, scienza e farmaci</t>
        </is>
      </c>
      <c r="E33" s="7" t="inlineStr">
        <is>
          <t>B</t>
        </is>
      </c>
      <c r="F33" s="7" t="inlineStr">
        <is>
          <t>Testata nazionale di informazione sanitaria: adatta al tema prevenzione e innovazione.</t>
        </is>
      </c>
      <c r="G33" s="8" t="inlineStr">
        <is>
          <t>https://www.quotidianosanita.it/</t>
        </is>
      </c>
      <c r="H33" s="7" t="inlineStr"/>
      <c r="I33" s="7" t="inlineStr"/>
      <c r="J33" s="7" t="inlineStr">
        <is>
          <t>Nessuna pagina contatti aperta (la pagina “chi siamo” risponde 404); c’è solo il modulo “Scrivi al direttore” (consultato 7 ott 2026).</t>
        </is>
      </c>
      <c r="K33" s="9" t="n"/>
      <c r="L33" s="9" t="n"/>
      <c r="M33" s="9" t="n"/>
      <c r="N33" s="10" t="n"/>
      <c r="O33" s="10" t="n"/>
      <c r="P33" s="9" t="n"/>
      <c r="Q33" s="9" t="n"/>
      <c r="R33" s="9" t="n"/>
    </row>
    <row r="34">
      <c r="A34" s="7" t="inlineStr">
        <is>
          <t>Sanità Informazione</t>
        </is>
      </c>
      <c r="B34" s="7" t="inlineStr">
        <is>
          <t>Quotidiano online e settimanale di approfondimento</t>
        </is>
      </c>
      <c r="C34" s="7" t="inlineStr">
        <is>
          <t>Nazionale</t>
        </is>
      </c>
      <c r="D34" s="7" t="inlineStr">
        <is>
          <t>salute, prevenzione, professioni, one health</t>
        </is>
      </c>
      <c r="E34" s="7" t="inlineStr">
        <is>
          <t>B</t>
        </is>
      </c>
      <c r="F34" s="7" t="inlineStr">
        <is>
          <t>Ha una sezione Prevenzione e segue le professioni sanitarie: coerente con i panel medici.</t>
        </is>
      </c>
      <c r="G34" s="8" t="inlineStr">
        <is>
          <t>https://www.sanitainformazione.it/</t>
        </is>
      </c>
      <c r="H34" s="7" t="inlineStr"/>
      <c r="I34" s="7" t="inlineStr">
        <is>
          <t>redazione@sanitainformazione.it</t>
        </is>
      </c>
      <c r="J34" s="8" t="inlineStr">
        <is>
          <t>https://www.sanitainformazione.it/ (footer, “Per informazioni”; /contatti/ risponde 404; consultato 7 ott 2026)</t>
        </is>
      </c>
      <c r="K34" s="9" t="n"/>
      <c r="L34" s="9" t="n"/>
      <c r="M34" s="9" t="n"/>
      <c r="N34" s="10" t="n"/>
      <c r="O34" s="10" t="n"/>
      <c r="P34" s="9" t="n"/>
      <c r="Q34" s="9" t="n"/>
      <c r="R34" s="9" t="n"/>
    </row>
    <row r="35">
      <c r="A35" s="7" t="inlineStr">
        <is>
          <t>TrendSanità</t>
        </is>
      </c>
      <c r="B35" s="7" t="inlineStr">
        <is>
          <t>Testata online</t>
        </is>
      </c>
      <c r="C35" s="7" t="inlineStr">
        <is>
          <t>Nazionale</t>
        </is>
      </c>
      <c r="D35" s="7" t="inlineStr">
        <is>
          <t>innovazione in sanità, sanità digitale, valutazione delle tecnologie</t>
        </is>
      </c>
      <c r="E35" s="7" t="inlineStr">
        <is>
          <t>B</t>
        </is>
      </c>
      <c r="F35" s="7" t="inlineStr">
        <is>
          <t>Ha intervistato il Presidente (8 ottobre 2024) da media partner dei Taranto Biotech Days 2024; accetta comunicati a un indirizzo dedicato.</t>
        </is>
      </c>
      <c r="G35" s="8" t="inlineStr">
        <is>
          <t>https://trendsanita.it/</t>
        </is>
      </c>
      <c r="H35" s="8" t="inlineStr">
        <is>
          <t>https://trendsanita.it/contatti/</t>
        </is>
      </c>
      <c r="I35" s="7" t="inlineStr">
        <is>
          <t>redazione@trendsanita.it</t>
        </is>
      </c>
      <c r="J35" s="8" t="inlineStr">
        <is>
          <t>https://trendsanita.it/contatti/ (“inviarci i tuoi comunicati stampa”; consultato 7 ott 2026)</t>
        </is>
      </c>
      <c r="K35" s="9" t="n"/>
      <c r="L35" s="9" t="n"/>
      <c r="M35" s="9" t="n"/>
      <c r="N35" s="10" t="n"/>
      <c r="O35" s="10" t="n"/>
      <c r="P35" s="9" t="n"/>
      <c r="Q35" s="9" t="n"/>
      <c r="R35" s="9" t="n"/>
    </row>
    <row r="36">
      <c r="A36" s="7" t="inlineStr">
        <is>
          <t>Tuttoscuola</t>
        </is>
      </c>
      <c r="B36" s="7" t="inlineStr">
        <is>
          <t>Testata di informazione educativa</t>
        </is>
      </c>
      <c r="C36" s="7" t="inlineStr">
        <is>
          <t>Nazionale</t>
        </is>
      </c>
      <c r="D36" s="7" t="inlineStr">
        <is>
          <t>scuola, politiche educative, genitori</t>
        </is>
      </c>
      <c r="E36" s="7" t="inlineStr">
        <is>
          <t>B</t>
        </is>
      </c>
      <c r="F36" s="7" t="inlineStr">
        <is>
          <t>Informazione educativa con una sezione per i genitori: utile per il programma e per lo Showcase dell’11 dicembre.</t>
        </is>
      </c>
      <c r="G36" s="8" t="inlineStr">
        <is>
          <t>https://www.tuttoscuola.com/</t>
        </is>
      </c>
      <c r="H36" s="8" t="inlineStr">
        <is>
          <t>https://www.tuttoscuola.com/contatti/</t>
        </is>
      </c>
      <c r="I36" s="7" t="inlineStr">
        <is>
          <t>tuttoscuola@tuttoscuola.com</t>
        </is>
      </c>
      <c r="J36" s="8" t="inlineStr">
        <is>
          <t>https://www.tuttoscuola.com/contatti/ (voce “e-mail”; consultato 7 ott 2026)</t>
        </is>
      </c>
      <c r="K36" s="9" t="n"/>
      <c r="L36" s="9" t="n"/>
      <c r="M36" s="9" t="n"/>
      <c r="N36" s="10" t="n"/>
      <c r="O36" s="10" t="n"/>
      <c r="P36" s="9" t="n"/>
      <c r="Q36" s="9" t="n"/>
      <c r="R36" s="9" t="n"/>
    </row>
    <row r="37">
      <c r="A37" s="7" t="inlineStr">
        <is>
          <t>Radio Norba</t>
        </is>
      </c>
      <c r="B37" s="7" t="inlineStr">
        <is>
          <t>Radio regionale</t>
        </is>
      </c>
      <c r="C37" s="7" t="inlineStr">
        <is>
          <t>Puglia (sede a Conversano, BA)</t>
        </is>
      </c>
      <c r="D37" s="7" t="inlineStr">
        <is>
          <t>musica, intrattenimento, notizie, eventi</t>
        </is>
      </c>
      <c r="E37" s="7" t="inlineStr">
        <is>
          <t>B</t>
        </is>
      </c>
      <c r="F37" s="7" t="inlineStr">
        <is>
          <t>Radio regionale: canale per annunci e interviste ai relatori, soprattutto sportivi.</t>
        </is>
      </c>
      <c r="G37" s="8" t="inlineStr">
        <is>
          <t>https://radionorba.it/</t>
        </is>
      </c>
      <c r="H37" s="8" t="inlineStr">
        <is>
          <t>https://radionorba.it/contatti/</t>
        </is>
      </c>
      <c r="I37" s="7" t="inlineStr">
        <is>
          <t>radionorba@radionorba.it</t>
        </is>
      </c>
      <c r="J37" s="8" t="inlineStr">
        <is>
          <t>https://radionorba.it/contatti/ (voce “E-mail”, indirizzo generale; consultato 7 ott 2026)</t>
        </is>
      </c>
      <c r="K37" s="9" t="n"/>
      <c r="L37" s="9" t="n"/>
      <c r="M37" s="9" t="n"/>
      <c r="N37" s="10" t="n"/>
      <c r="O37" s="10" t="n"/>
      <c r="P37" s="9" t="n"/>
      <c r="Q37" s="9" t="n"/>
      <c r="R37" s="9" t="n"/>
    </row>
    <row r="38">
      <c r="A38" s="7" t="inlineStr">
        <is>
          <t>Corriere del Mezzogiorno (edizione Puglia)</t>
        </is>
      </c>
      <c r="B38" s="7" t="inlineStr">
        <is>
          <t>Quotidiano regionale del gruppo Corriere della Sera</t>
        </is>
      </c>
      <c r="C38" s="7" t="inlineStr">
        <is>
          <t>Puglia (sito bari.corriere.it)</t>
        </is>
      </c>
      <c r="D38" s="7" t="inlineStr">
        <is>
          <t>cronaca, politica, economia, cultura</t>
        </is>
      </c>
      <c r="E38" s="7" t="inlineStr">
        <is>
          <t>B</t>
        </is>
      </c>
      <c r="F38" s="7" t="inlineStr">
        <is>
          <t>Quotidiano regionale di un gruppo nazionale: porta la notizia oltre Taranto.</t>
        </is>
      </c>
      <c r="G38" s="8" t="inlineStr">
        <is>
          <t>https://bari.corriere.it/</t>
        </is>
      </c>
      <c r="H38" s="8" t="inlineStr">
        <is>
          <t>https://www.corriere.it/scrivi/</t>
        </is>
      </c>
      <c r="I38" s="7" t="inlineStr">
        <is>
          <t>corbari@rcs.it</t>
        </is>
      </c>
      <c r="J38" s="8" t="inlineStr">
        <is>
          <t>https://bari.corriere.it/ (box “Hai una storia da segnalare sul tuo territorio? Scrivici”); il modulo su corriere.it/scrivi ha la voce “Redazione Corriere del Mezzogiorno (Puglia)” (consultati 7 ott 2026)</t>
        </is>
      </c>
      <c r="K38" s="9" t="n"/>
      <c r="L38" s="9" t="n"/>
      <c r="M38" s="9" t="n"/>
      <c r="N38" s="10" t="n"/>
      <c r="O38" s="10" t="n"/>
      <c r="P38" s="9" t="n"/>
      <c r="Q38" s="9" t="n"/>
      <c r="R38" s="9" t="n"/>
    </row>
    <row r="39">
      <c r="A39" s="7" t="inlineStr">
        <is>
          <t>L’Edicola</t>
        </is>
      </c>
      <c r="B39" s="7" t="inlineStr">
        <is>
          <t>Quotidiano sfogliabile e sito di notizie (Ledi S.r.l., Bari)</t>
        </is>
      </c>
      <c r="C39" s="7" t="inlineStr">
        <is>
          <t>Puglia e Basilicata (Bari, BAT, Brindisi, Foggia, Lecce, Taranto)</t>
        </is>
      </c>
      <c r="D39" s="7" t="inlineStr">
        <is>
          <t>attualità, politica, cronaca, salute, cultura, sport</t>
        </is>
      </c>
      <c r="E39" s="7" t="inlineStr">
        <is>
          <t>B</t>
        </is>
      </c>
      <c r="F39" s="7" t="inlineStr">
        <is>
          <t>Ha seguito i Taranto Biotech Days 2024 (11 ottobre 2024); ha uno speciale Salute.</t>
        </is>
      </c>
      <c r="G39" s="8" t="inlineStr">
        <is>
          <t>https://ledicola.it/</t>
        </is>
      </c>
      <c r="H39" s="8" t="inlineStr">
        <is>
          <t>https://ledicola.it/contatti/</t>
        </is>
      </c>
      <c r="I39" s="7" t="inlineStr">
        <is>
          <t>redazione@ledieditori.it</t>
        </is>
      </c>
      <c r="J39" s="8" t="inlineStr">
        <is>
          <t>https://ledicola.it/contatti/ (“Scrivici a”; indirizzo protetto, decodificato; consultato 7 ott 2026)</t>
        </is>
      </c>
      <c r="K39" s="9" t="n"/>
      <c r="L39" s="9" t="n"/>
      <c r="M39" s="9" t="n"/>
      <c r="N39" s="10" t="n"/>
      <c r="O39" s="10" t="n"/>
      <c r="P39" s="9" t="n"/>
      <c r="Q39" s="9" t="n"/>
      <c r="R39" s="9" t="n"/>
    </row>
    <row r="40">
      <c r="A40" s="7" t="inlineStr">
        <is>
          <t>PugliaPress</t>
        </is>
      </c>
      <c r="B40" s="7" t="inlineStr">
        <is>
          <t>Portale di notizie regionale con PugliaPress TV</t>
        </is>
      </c>
      <c r="C40" s="7" t="inlineStr">
        <is>
          <t>Puglia, con sezioni per provincia (Taranto inclusa)</t>
        </is>
      </c>
      <c r="D40" s="7" t="inlineStr">
        <is>
          <t>cronaca, ambiente, economia, sport, eventi</t>
        </is>
      </c>
      <c r="E40" s="7" t="inlineStr">
        <is>
          <t>B</t>
        </is>
      </c>
      <c r="F40" s="7" t="inlineStr">
        <is>
          <t>Ha raccontato la nascita della Fondazione (22 aprile 2025); ha sezioni dedicate a Taranto.</t>
        </is>
      </c>
      <c r="G40" s="8" t="inlineStr">
        <is>
          <t>https://www.pugliapress.org/</t>
        </is>
      </c>
      <c r="H40" s="8" t="inlineStr">
        <is>
          <t>https://www.pugliapress.org/contatti/</t>
        </is>
      </c>
      <c r="I40" s="7" t="inlineStr">
        <is>
          <t>redazione@pugliapress.it</t>
        </is>
      </c>
      <c r="J40" s="8" t="inlineStr">
        <is>
          <t>https://www.pugliapress.org/contatti/ (“Puoi inviarci una email”; consultato 7 ott 2026)</t>
        </is>
      </c>
      <c r="K40" s="9" t="n"/>
      <c r="L40" s="9" t="n"/>
      <c r="M40" s="9" t="n"/>
      <c r="N40" s="10" t="n"/>
      <c r="O40" s="10" t="n"/>
      <c r="P40" s="9" t="n"/>
      <c r="Q40" s="9" t="n"/>
      <c r="R40" s="9" t="n"/>
    </row>
    <row r="41">
      <c r="A41" s="7" t="inlineStr">
        <is>
          <t>Cronache Tarantine</t>
        </is>
      </c>
      <c r="B41" s="7" t="inlineStr">
        <is>
          <t>Testata online</t>
        </is>
      </c>
      <c r="C41" s="7" t="inlineStr">
        <is>
          <t>Taranto</t>
        </is>
      </c>
      <c r="D41" s="7" t="inlineStr">
        <is>
          <t>attualità, cronaca</t>
        </is>
      </c>
      <c r="E41" s="7" t="inlineStr">
        <is>
          <t>B</t>
        </is>
      </c>
      <c r="F41" s="7" t="inlineStr">
        <is>
          <t>Risultano in passato articoli sulla Fondazione, ma i link oggi rispondono “articolo non trovato”.</t>
        </is>
      </c>
      <c r="G41" s="8" t="inlineStr">
        <is>
          <t>https://www.cronachetarantine.it/</t>
        </is>
      </c>
      <c r="H41" s="7" t="inlineStr"/>
      <c r="I41" s="7" t="inlineStr">
        <is>
          <t>redazione@cronachetarantine.it</t>
        </is>
      </c>
      <c r="J41" s="8" t="inlineStr">
        <is>
          <t>https://www.cronachetarantine.it/ (footer, voce “Email”; nessuna pagina contatti trovata; consultato 7 ott 2026)</t>
        </is>
      </c>
      <c r="K41" s="9" t="n"/>
      <c r="L41" s="9" t="n"/>
      <c r="M41" s="9" t="n"/>
      <c r="N41" s="10" t="n"/>
      <c r="O41" s="10" t="n"/>
      <c r="P41" s="9" t="n"/>
      <c r="Q41" s="9" t="n"/>
      <c r="R41" s="9" t="n"/>
    </row>
    <row r="42">
      <c r="A42" s="7" t="inlineStr">
        <is>
          <t>Giornale RossoBlu</t>
        </is>
      </c>
      <c r="B42" s="7" t="inlineStr">
        <is>
          <t>Testata online di sport e cronaca</t>
        </is>
      </c>
      <c r="C42" s="7" t="inlineStr">
        <is>
          <t>Taranto</t>
        </is>
      </c>
      <c r="D42" s="7" t="inlineStr">
        <is>
          <t>calcio, basket, volley, cronaca, politica</t>
        </is>
      </c>
      <c r="E42" s="7" t="inlineStr">
        <is>
          <t>B</t>
        </is>
      </c>
      <c r="F42" s="7" t="inlineStr">
        <is>
          <t>Segue lo sport tarantino e ha raccontato la riqualificazione del PalaMazzola (22 luglio 2026).</t>
        </is>
      </c>
      <c r="G42" s="8" t="inlineStr">
        <is>
          <t>https://giornalerossoblu.it/</t>
        </is>
      </c>
      <c r="H42" s="8" t="inlineStr">
        <is>
          <t>https://giornalerossoblu.it/contact/</t>
        </is>
      </c>
      <c r="I42" s="7" t="inlineStr">
        <is>
          <t>redazione@giornalerossoblu.it</t>
        </is>
      </c>
      <c r="J42" s="8" t="inlineStr">
        <is>
          <t>https://giornalerossoblu.it/contact/ (“Informazioni di contatto”; consultato 7 ott 2026)</t>
        </is>
      </c>
      <c r="K42" s="9" t="n"/>
      <c r="L42" s="9" t="n"/>
      <c r="M42" s="9" t="n"/>
      <c r="N42" s="10" t="n"/>
      <c r="O42" s="10" t="n"/>
      <c r="P42" s="9" t="n"/>
      <c r="Q42" s="9" t="n"/>
      <c r="R42" s="9" t="n"/>
    </row>
    <row r="43">
      <c r="A43" s="7" t="inlineStr">
        <is>
          <t>CosmoPolis</t>
        </is>
      </c>
      <c r="B43" s="7" t="inlineStr">
        <is>
          <t>Testata online con web TV e podcast (reg. Trib. Taranto n. 4/2012)</t>
        </is>
      </c>
      <c r="C43" s="7" t="inlineStr">
        <is>
          <t>Taranto e Mediterraneo</t>
        </is>
      </c>
      <c r="D43" s="7" t="inlineStr">
        <is>
          <t>politica, economia, cultura, sport</t>
        </is>
      </c>
      <c r="E43" s="7" t="inlineStr">
        <is>
          <t>B</t>
        </is>
      </c>
      <c r="F43" s="7" t="inlineStr">
        <is>
          <t>Ha già raccontato la nascita della Fondazione (27 ottobre 2025).</t>
        </is>
      </c>
      <c r="G43" s="8" t="inlineStr">
        <is>
          <t>https://www.cosmopolis.media/</t>
        </is>
      </c>
      <c r="H43" s="8" t="inlineStr">
        <is>
          <t>https://www.cosmopolis.media/contatti/</t>
        </is>
      </c>
      <c r="I43" s="7" t="inlineStr">
        <is>
          <t>redazione@cosmopolismedia.it</t>
        </is>
      </c>
      <c r="J43" s="8" t="inlineStr">
        <is>
          <t>https://www.cosmopolis.media/contatti/ (voce “Redazione”; consultato 7 ott 2026)</t>
        </is>
      </c>
      <c r="K43" s="9" t="n"/>
      <c r="L43" s="9" t="n"/>
      <c r="M43" s="9" t="n"/>
      <c r="N43" s="10" t="n"/>
      <c r="O43" s="10" t="n"/>
      <c r="P43" s="9" t="n"/>
      <c r="Q43" s="9" t="n"/>
      <c r="R43" s="9" t="n"/>
    </row>
    <row r="44">
      <c r="A44" s="7" t="inlineStr">
        <is>
          <t>Oltre il Fatto</t>
        </is>
      </c>
      <c r="B44" s="7" t="inlineStr">
        <is>
          <t>Testata online</t>
        </is>
      </c>
      <c r="C44" s="7" t="inlineStr">
        <is>
          <t>Taranto e Puglia</t>
        </is>
      </c>
      <c r="D44" s="7" t="inlineStr">
        <is>
          <t>attualità, politica, cultura</t>
        </is>
      </c>
      <c r="E44" s="7" t="inlineStr">
        <is>
          <t>B</t>
        </is>
      </c>
      <c r="F44" s="7" t="inlineStr">
        <is>
          <t>Ha seguito i Taranto Biotech Days 2024 e la presentazione del 2025; ha una pagina tag dedicata al Presidente.</t>
        </is>
      </c>
      <c r="G44" s="8" t="inlineStr">
        <is>
          <t>https://www.oltreilfatto.it/</t>
        </is>
      </c>
      <c r="H44" s="8" t="inlineStr">
        <is>
          <t>https://www.oltreilfatto.it/contatti/</t>
        </is>
      </c>
      <c r="I44" s="7" t="inlineStr">
        <is>
          <t>redazione@oltreilfatto.it</t>
        </is>
      </c>
      <c r="J44" s="8" t="inlineStr">
        <is>
          <t>https://www.oltreilfatto.it/contatti/ (voce “comunicati”; consultato 7 ott 2026)</t>
        </is>
      </c>
      <c r="K44" s="9" t="n"/>
      <c r="L44" s="9" t="n"/>
      <c r="M44" s="9" t="n"/>
      <c r="N44" s="10" t="n"/>
      <c r="O44" s="10" t="n"/>
      <c r="P44" s="9" t="n"/>
      <c r="Q44" s="9" t="n"/>
      <c r="R44" s="9" t="n"/>
    </row>
    <row r="45">
      <c r="A45" s="7" t="inlineStr">
        <is>
          <t>Blunote</t>
        </is>
      </c>
      <c r="B45" s="7" t="inlineStr">
        <is>
          <t>Testata online di sport e notizie (Canale 85 S.r.l., editore di Antenna Sud)</t>
        </is>
      </c>
      <c r="C45" s="7" t="inlineStr">
        <is>
          <t>Taranto, Brindisi e province</t>
        </is>
      </c>
      <c r="D45" s="7" t="inlineStr">
        <is>
          <t>calcio e sport locali, cronaca, politica, cultura</t>
        </is>
      </c>
      <c r="E45" s="7" t="inlineStr">
        <is>
          <t>B</t>
        </is>
      </c>
      <c r="F45" s="7" t="inlineStr">
        <is>
          <t>Ha già scritto della rete delle scuole (22 settembre 2026); ampia sezione sullo sport locale.</t>
        </is>
      </c>
      <c r="G45" s="8" t="inlineStr">
        <is>
          <t>https://www.blunote.it/</t>
        </is>
      </c>
      <c r="H45" s="7" t="inlineStr"/>
      <c r="I45" s="7" t="inlineStr">
        <is>
          <t>redazione@blunote.it</t>
        </is>
      </c>
      <c r="J45" s="8" t="inlineStr">
        <is>
          <t>https://www.blunote.it/ (footer, dati della testata; indirizzo protetto da Cloudflare, decodificato; consultato 7 ott 2026)</t>
        </is>
      </c>
      <c r="K45" s="9" t="n"/>
      <c r="L45" s="9" t="n"/>
      <c r="M45" s="9" t="n"/>
      <c r="N45" s="10" t="n"/>
      <c r="O45" s="10" t="n"/>
      <c r="P45" s="9" t="n"/>
      <c r="Q45" s="9" t="n"/>
      <c r="R45" s="9" t="n"/>
    </row>
    <row r="46">
      <c r="A46" s="7" t="inlineStr">
        <is>
          <t>Noi Notizie</t>
        </is>
      </c>
      <c r="B46" s="7" t="inlineStr">
        <is>
          <t>Quotidiano online indipendente (reg. Trib. Taranto n. 4/2018)</t>
        </is>
      </c>
      <c r="C46" s="7" t="inlineStr">
        <is>
          <t>Taranto, Martina Franca, Brindisi, Lecce, Bari e altre edizioni locali</t>
        </is>
      </c>
      <c r="D46" s="7" t="inlineStr">
        <is>
          <t>attualità, cronaca, cultura, politica, sport</t>
        </is>
      </c>
      <c r="E46" s="7" t="inlineStr">
        <is>
          <t>B</t>
        </is>
      </c>
      <c r="F46" s="7" t="inlineStr">
        <is>
          <t>Ha seguito i Taranto Biotech Days 2024 e la Fondazione nel 2025; ha una sezione “Comunicati”.</t>
        </is>
      </c>
      <c r="G46" s="8" t="inlineStr">
        <is>
          <t>https://www.noinotizie.it/</t>
        </is>
      </c>
      <c r="H46" s="8" t="inlineStr">
        <is>
          <t>https://www.noinotizie.it/contatti/</t>
        </is>
      </c>
      <c r="I46" s="7" t="inlineStr">
        <is>
          <t>redazione@noinotizie.it</t>
        </is>
      </c>
      <c r="J46" s="8" t="inlineStr">
        <is>
          <t>https://www.noinotizie.it/contatti/ (“Per contattare la redazione”; consultato 7 ott 2026)</t>
        </is>
      </c>
      <c r="K46" s="9" t="n"/>
      <c r="L46" s="9" t="n"/>
      <c r="M46" s="9" t="n"/>
      <c r="N46" s="10" t="n"/>
      <c r="O46" s="10" t="n"/>
      <c r="P46" s="9" t="n"/>
      <c r="Q46" s="9" t="n"/>
      <c r="R46" s="9" t="n"/>
    </row>
    <row r="47">
      <c r="A47" s="7" t="inlineStr">
        <is>
          <t>Radio Cittadella</t>
        </is>
      </c>
      <c r="B47" s="7" t="inlineStr">
        <is>
          <t>Radio locale (96,5 MHz e DAB+), visual radio e podcast</t>
        </is>
      </c>
      <c r="C47" s="7" t="inlineStr">
        <is>
          <t>Taranto; Puglia e Basilicata</t>
        </is>
      </c>
      <c r="D47" s="7" t="inlineStr">
        <is>
          <t>notizie locali, programmi, musica</t>
        </is>
      </c>
      <c r="E47" s="7" t="inlineStr">
        <is>
          <t>B</t>
        </is>
      </c>
      <c r="F47" s="7" t="inlineStr">
        <is>
          <t>Radio di Taranto con visual radio, adatta a interviste; un’intervista al Presidente del 2021 risulta sul canale “TarantoTV Cittadella Radio”.</t>
        </is>
      </c>
      <c r="G47" s="8" t="inlineStr">
        <is>
          <t>https://www.radiocittadella.it/</t>
        </is>
      </c>
      <c r="H47" s="8" t="inlineStr">
        <is>
          <t>https://www.radiocittadella.it/contatti/</t>
        </is>
      </c>
      <c r="I47" s="7" t="inlineStr">
        <is>
          <t>redazione@radiocittadella.it</t>
        </is>
      </c>
      <c r="J47" s="8" t="inlineStr">
        <is>
          <t>https://www.radiocittadella.it/contatti/ (voce “Redazione”; consultato 7 ott 2026)</t>
        </is>
      </c>
      <c r="K47" s="9" t="n"/>
      <c r="L47" s="9" t="n"/>
      <c r="M47" s="9" t="n"/>
      <c r="N47" s="10" t="n"/>
      <c r="O47" s="10" t="n"/>
      <c r="P47" s="9" t="n"/>
      <c r="Q47" s="9" t="n"/>
      <c r="R47" s="9" t="n"/>
    </row>
    <row r="48">
      <c r="A48" s="7" t="inlineStr">
        <is>
          <t>La Voce di Manduria</t>
        </is>
      </c>
      <c r="B48" s="7" t="inlineStr">
        <is>
          <t>Testata online (aut. Trib. Taranto n. 13/09)</t>
        </is>
      </c>
      <c r="C48" s="7" t="inlineStr">
        <is>
          <t>Manduria e provincia di Taranto</t>
        </is>
      </c>
      <c r="D48" s="7" t="inlineStr">
        <is>
          <t>cronaca, attualità</t>
        </is>
      </c>
      <c r="E48" s="7" t="inlineStr">
        <is>
          <t>C</t>
        </is>
      </c>
      <c r="F48" s="7" t="inlineStr">
        <is>
          <t>Copre il versante orientale della provincia: utile per raggiungere scuole e famiglie fuori dal capoluogo.</t>
        </is>
      </c>
      <c r="G48" s="8" t="inlineStr">
        <is>
          <t>https://www.lavocedimanduria.it/</t>
        </is>
      </c>
      <c r="H48" s="8" t="inlineStr">
        <is>
          <t>https://www.lavocedimanduria.it/page/1097742012519/contattaci</t>
        </is>
      </c>
      <c r="I48" s="7" t="inlineStr">
        <is>
          <t>redazione@lavocedimanduria.it</t>
        </is>
      </c>
      <c r="J48" s="8" t="inlineStr">
        <is>
          <t>https://www.lavocedimanduria.it/page/1097742012519/contattaci (“Per contattare la nostra redazione”; indirizzo protetto, decodificato; consultato 7 ott 2026)</t>
        </is>
      </c>
      <c r="K48" s="9" t="n"/>
      <c r="L48" s="9" t="n"/>
      <c r="M48" s="9" t="n"/>
      <c r="N48" s="10" t="n"/>
      <c r="O48" s="10" t="n"/>
      <c r="P48" s="9" t="n"/>
      <c r="Q48" s="9" t="n"/>
      <c r="R48" s="9" t="n"/>
    </row>
    <row r="49">
      <c r="A49" s="7" t="inlineStr">
        <is>
          <t>ManduriaOggi</t>
        </is>
      </c>
      <c r="B49" s="7" t="inlineStr">
        <is>
          <t>Sito di notizie locali (testata non iscritta in Tribunale, art. 3 bis L. 103/2012)</t>
        </is>
      </c>
      <c r="C49" s="7" t="inlineStr">
        <is>
          <t>Manduria, Avetrana, Sava, Maruggio</t>
        </is>
      </c>
      <c r="D49" s="7" t="inlineStr">
        <is>
          <t>cronaca, sport, attualità</t>
        </is>
      </c>
      <c r="E49" s="7" t="inlineStr">
        <is>
          <t>C</t>
        </is>
      </c>
      <c r="F49" s="7" t="inlineStr">
        <is>
          <t>Copre i comuni del versante orientale: utile per la diffusione del programma scuole.</t>
        </is>
      </c>
      <c r="G49" s="8" t="inlineStr">
        <is>
          <t>https://www.manduriaoggi.it/</t>
        </is>
      </c>
      <c r="H49" s="8" t="inlineStr">
        <is>
          <t>https://www.manduriaoggi.it/?p=contatti</t>
        </is>
      </c>
      <c r="I49" s="7" t="inlineStr">
        <is>
          <t>redazione@manduriaoggi.it</t>
        </is>
      </c>
      <c r="J49" s="8" t="inlineStr">
        <is>
          <t>https://www.manduriaoggi.it/?p=contatti (“Per qualsiasi informazione”; consultato 7 ott 2026)</t>
        </is>
      </c>
      <c r="K49" s="9" t="n"/>
      <c r="L49" s="9" t="n"/>
      <c r="M49" s="9" t="n"/>
      <c r="N49" s="10" t="n"/>
      <c r="O49" s="10" t="n"/>
      <c r="P49" s="9" t="n"/>
      <c r="Q49" s="9" t="n"/>
      <c r="R49" s="9" t="n"/>
    </row>
    <row r="50">
      <c r="A50" s="7" t="inlineStr">
        <is>
          <t>Agenda Digitale</t>
        </is>
      </c>
      <c r="B50" s="7" t="inlineStr">
        <is>
          <t>Testata online (Network Digital360)</t>
        </is>
      </c>
      <c r="C50" s="7" t="inlineStr">
        <is>
          <t>Nazionale</t>
        </is>
      </c>
      <c r="D50" s="7" t="inlineStr">
        <is>
          <t>politiche digitali, innovazione</t>
        </is>
      </c>
      <c r="E50" s="7" t="inlineStr">
        <is>
          <t>C</t>
        </is>
      </c>
      <c r="F50" s="7" t="inlineStr">
        <is>
          <t>Ospita analisi su digitale e IA: possibile spazio per un contributo firmato dal Presidente.</t>
        </is>
      </c>
      <c r="G50" s="8" t="inlineStr">
        <is>
          <t>https://www.agendadigitale.eu/</t>
        </is>
      </c>
      <c r="H50" s="8" t="inlineStr">
        <is>
          <t>https://www.agendadigitale.eu/about/</t>
        </is>
      </c>
      <c r="I50" s="7" t="inlineStr">
        <is>
          <t>info@agendadigitale.eu</t>
        </is>
      </c>
      <c r="J50" s="8" t="inlineStr">
        <is>
          <t>https://www.agendadigitale.eu/about/ (“Segreteria di redazione”; consultato 7 ott 2026)</t>
        </is>
      </c>
      <c r="K50" s="9" t="n"/>
      <c r="L50" s="9" t="n"/>
      <c r="M50" s="9" t="n"/>
      <c r="N50" s="10" t="n"/>
      <c r="O50" s="10" t="n"/>
      <c r="P50" s="9" t="n"/>
      <c r="Q50" s="9" t="n"/>
      <c r="R50" s="9" t="n"/>
    </row>
    <row r="51">
      <c r="A51" s="7" t="inlineStr">
        <is>
          <t>Corriere dello Sport</t>
        </is>
      </c>
      <c r="B51" s="7" t="inlineStr">
        <is>
          <t>Quotidiano sportivo nazionale</t>
        </is>
      </c>
      <c r="C51" s="7" t="inlineStr">
        <is>
          <t>Nazionale</t>
        </is>
      </c>
      <c r="D51" s="7" t="inlineStr">
        <is>
          <t>calcio, sport</t>
        </is>
      </c>
      <c r="E51" s="7" t="inlineStr">
        <is>
          <t>C</t>
        </is>
      </c>
      <c r="F51" s="7" t="inlineStr">
        <is>
          <t>Tra i relatori ex calciatori (Francesco Montervino, Fabio Galante): possibile notizia breve o intervista.</t>
        </is>
      </c>
      <c r="G51" s="8" t="inlineStr">
        <is>
          <t>https://www.corrieredellosport.it/</t>
        </is>
      </c>
      <c r="H51" s="8" t="inlineStr">
        <is>
          <t>https://www.corrieredellosport.it/contatti</t>
        </is>
      </c>
      <c r="I51" s="7" t="inlineStr"/>
      <c r="J51" s="7" t="inlineStr">
        <is>
          <t>Solo modulo, con destinatario “Redazione” (consultato 7 ott 2026).</t>
        </is>
      </c>
      <c r="K51" s="9" t="n"/>
      <c r="L51" s="9" t="n"/>
      <c r="M51" s="9" t="n"/>
      <c r="N51" s="10" t="n"/>
      <c r="O51" s="10" t="n"/>
      <c r="P51" s="9" t="n"/>
      <c r="Q51" s="9" t="n"/>
      <c r="R51" s="9" t="n"/>
    </row>
    <row r="52">
      <c r="A52" s="7" t="inlineStr">
        <is>
          <t>Doctor33</t>
        </is>
      </c>
      <c r="B52" s="7" t="inlineStr">
        <is>
          <t>Portale di informazione per medici</t>
        </is>
      </c>
      <c r="C52" s="7" t="inlineStr">
        <is>
          <t>Nazionale</t>
        </is>
      </c>
      <c r="D52" s="7" t="inlineStr">
        <is>
          <t>professione medica, medicina e ricerca, politica sanitaria</t>
        </is>
      </c>
      <c r="E52" s="7" t="inlineStr">
        <is>
          <t>C</t>
        </is>
      </c>
      <c r="F52" s="7" t="inlineStr">
        <is>
          <t>Si presenta come “il portale riservato ai medici”: utile per i panel di angiologia, reumatologia e oncologia.</t>
        </is>
      </c>
      <c r="G52" s="8" t="inlineStr">
        <is>
          <t>https://www.doctor33.it/</t>
        </is>
      </c>
      <c r="H52" s="8" t="inlineStr">
        <is>
          <t>https://www.doctor33.it/contatti</t>
        </is>
      </c>
      <c r="I52" s="7" t="inlineStr"/>
      <c r="J52" s="7" t="inlineStr">
        <is>
          <t>Solo modulo, con la voce “Contatta la redazione” (consultato 7 ott 2026).</t>
        </is>
      </c>
      <c r="K52" s="9" t="n"/>
      <c r="L52" s="9" t="n"/>
      <c r="M52" s="9" t="n"/>
      <c r="N52" s="10" t="n"/>
      <c r="O52" s="10" t="n"/>
      <c r="P52" s="9" t="n"/>
      <c r="Q52" s="9" t="n"/>
      <c r="R52" s="9" t="n"/>
    </row>
    <row r="53">
      <c r="A53" s="7" t="inlineStr">
        <is>
          <t>HealthDesk</t>
        </is>
      </c>
      <c r="B53" s="7" t="inlineStr">
        <is>
          <t>Testata online di salute</t>
        </is>
      </c>
      <c r="C53" s="7" t="inlineStr">
        <is>
          <t>Nazionale</t>
        </is>
      </c>
      <c r="D53" s="7" t="inlineStr">
        <is>
          <t>salute, sanità, ricerca</t>
        </is>
      </c>
      <c r="E53" s="7" t="inlineStr">
        <is>
          <t>C</t>
        </is>
      </c>
      <c r="F53" s="7" t="inlineStr">
        <is>
          <t>Testata di salute: adatta alle storie di atleti e medici.</t>
        </is>
      </c>
      <c r="G53" s="8" t="inlineStr">
        <is>
          <t>https://www.healthdesk.it/</t>
        </is>
      </c>
      <c r="H53" s="8" t="inlineStr">
        <is>
          <t>https://www.healthdesk.it/chi-siamo</t>
        </is>
      </c>
      <c r="I53" s="7" t="inlineStr">
        <is>
          <t>redazione@healthdesk.it</t>
        </is>
      </c>
      <c r="J53" s="8" t="inlineStr">
        <is>
          <t>https://www.healthdesk.it/chi-siamo (link “redazione”; consultato 7 ott 2026)</t>
        </is>
      </c>
      <c r="K53" s="9" t="n"/>
      <c r="L53" s="9" t="n"/>
      <c r="M53" s="9" t="n"/>
      <c r="N53" s="10" t="n"/>
      <c r="O53" s="10" t="n"/>
      <c r="P53" s="9" t="n"/>
      <c r="Q53" s="9" t="n"/>
      <c r="R53" s="9" t="n"/>
    </row>
    <row r="54">
      <c r="A54" s="7" t="inlineStr">
        <is>
          <t>Punto Effe</t>
        </is>
      </c>
      <c r="B54" s="7" t="inlineStr">
        <is>
          <t>Mensile per farmacisti e farmacie (Edra Media)</t>
        </is>
      </c>
      <c r="C54" s="7" t="inlineStr">
        <is>
          <t>Nazionale</t>
        </is>
      </c>
      <c r="D54" s="7" t="inlineStr">
        <is>
          <t>farmacia, professione, mercato</t>
        </is>
      </c>
      <c r="E54" s="7" t="inlineStr">
        <is>
          <t>C</t>
        </is>
      </c>
      <c r="F54" s="7" t="inlineStr">
        <is>
          <t>Mensile di settore: va informato con anticipo; utile per un resoconto dopo l’evento.</t>
        </is>
      </c>
      <c r="G54" s="8" t="inlineStr">
        <is>
          <t>https://www.puntoeffe.it/</t>
        </is>
      </c>
      <c r="H54" s="8" t="inlineStr">
        <is>
          <t>https://www.puntoeffe.it/contatti</t>
        </is>
      </c>
      <c r="I54" s="7" t="inlineStr">
        <is>
          <t>dircom@lswr.it</t>
        </is>
      </c>
      <c r="J54" s="8" t="inlineStr">
        <is>
          <t>https://www.puntoeffe.it/contatti (voce “Redazione”, indirizzo non nominativo; consultato 7 ott 2026)</t>
        </is>
      </c>
      <c r="K54" s="9" t="n"/>
      <c r="L54" s="9" t="n"/>
      <c r="M54" s="9" t="n"/>
      <c r="N54" s="10" t="n"/>
      <c r="O54" s="10" t="n"/>
      <c r="P54" s="9" t="n"/>
      <c r="Q54" s="9" t="n"/>
      <c r="R54" s="9" t="n"/>
    </row>
    <row r="55">
      <c r="A55" s="7" t="inlineStr">
        <is>
          <t>Sporteconomy</t>
        </is>
      </c>
      <c r="B55" s="7" t="inlineStr">
        <is>
          <t>Agenzia e testata di economia dello sport</t>
        </is>
      </c>
      <c r="C55" s="7" t="inlineStr">
        <is>
          <t>Nazionale</t>
        </is>
      </c>
      <c r="D55" s="7" t="inlineStr">
        <is>
          <t>economia dello sport, eventi, organizzazioni sportive</t>
        </is>
      </c>
      <c r="E55" s="7" t="inlineStr">
        <is>
          <t>C</t>
        </is>
      </c>
      <c r="F55" s="7" t="inlineStr">
        <is>
          <t>Racconta eventi sportivi e chi li organizza: angolo sport e innovazione.</t>
        </is>
      </c>
      <c r="G55" s="8" t="inlineStr">
        <is>
          <t>https://www.sporteconomy.it/</t>
        </is>
      </c>
      <c r="H55" s="8" t="inlineStr">
        <is>
          <t>https://www.sporteconomy.it/contatti/</t>
        </is>
      </c>
      <c r="I55" s="7" t="inlineStr">
        <is>
          <t>info@sporteconomy.it</t>
        </is>
      </c>
      <c r="J55" s="8" t="inlineStr">
        <is>
          <t>https://www.sporteconomy.it/contatti/ (“e-mail redazione agenzia”; consultato 7 ott 2026)</t>
        </is>
      </c>
      <c r="K55" s="9" t="n"/>
      <c r="L55" s="9" t="n"/>
      <c r="M55" s="9" t="n"/>
      <c r="N55" s="10" t="n"/>
      <c r="O55" s="10" t="n"/>
      <c r="P55" s="9" t="n"/>
      <c r="Q55" s="9" t="n"/>
      <c r="R55" s="9" t="n"/>
    </row>
    <row r="56">
      <c r="A56" s="7" t="inlineStr">
        <is>
          <t>Wired Italia</t>
        </is>
      </c>
      <c r="B56" s="7" t="inlineStr">
        <is>
          <t>Magazine di scienza e tecnologia</t>
        </is>
      </c>
      <c r="C56" s="7" t="inlineStr">
        <is>
          <t>Nazionale</t>
        </is>
      </c>
      <c r="D56" s="7" t="inlineStr">
        <is>
          <t>scienza, tecnologia, economia, cultura</t>
        </is>
      </c>
      <c r="E56" s="7" t="inlineStr">
        <is>
          <t>C</t>
        </is>
      </c>
      <c r="F56" s="7" t="inlineStr">
        <is>
          <t>Magazine di scienza e tecnologia: angolo IA applicata alla salute.</t>
        </is>
      </c>
      <c r="G56" s="8" t="inlineStr">
        <is>
          <t>https://www.wired.it/</t>
        </is>
      </c>
      <c r="H56" s="8" t="inlineStr">
        <is>
          <t>https://www.wired.it/info/redazione/</t>
        </is>
      </c>
      <c r="I56" s="7" t="inlineStr"/>
      <c r="J56" s="7" t="inlineStr">
        <is>
          <t>La pagina redazione non riporta indirizzi (consultato 7 ott 2026).</t>
        </is>
      </c>
      <c r="K56" s="9" t="n"/>
      <c r="L56" s="9" t="n"/>
      <c r="M56" s="9" t="n"/>
      <c r="N56" s="10" t="n"/>
      <c r="O56" s="10" t="n"/>
      <c r="P56" s="9" t="n"/>
      <c r="Q56" s="9" t="n"/>
      <c r="R56" s="9" t="n"/>
    </row>
    <row r="57">
      <c r="A57" s="7" t="inlineStr">
        <is>
          <t>Giornale di Puglia</t>
        </is>
      </c>
      <c r="B57" s="7" t="inlineStr">
        <is>
          <t>Testata online</t>
        </is>
      </c>
      <c r="C57" s="7" t="inlineStr">
        <is>
          <t>Puglia</t>
        </is>
      </c>
      <c r="D57" s="7" t="inlineStr">
        <is>
          <t>attualità, cronaca, cultura, sport</t>
        </is>
      </c>
      <c r="E57" s="7" t="inlineStr">
        <is>
          <t>C</t>
        </is>
      </c>
      <c r="F57" s="7" t="inlineStr">
        <is>
          <t>Ha citato la Fondazione nel dicembre 2025 (evento “Cranio Tech” a Taranto).</t>
        </is>
      </c>
      <c r="G57" s="8" t="inlineStr">
        <is>
          <t>https://www.giornaledipuglia.com/</t>
        </is>
      </c>
      <c r="H57" s="8" t="inlineStr">
        <is>
          <t>https://www.giornaledipuglia.com/p/redazione.html</t>
        </is>
      </c>
      <c r="I57" s="7" t="inlineStr">
        <is>
          <t>redazione@giornaledipuglia.com</t>
        </is>
      </c>
      <c r="J57" s="8" t="inlineStr">
        <is>
          <t>https://www.giornaledipuglia.com/p/redazione.html (voce “Redazione”; consultato 7 ott 2026)</t>
        </is>
      </c>
      <c r="K57" s="9" t="n"/>
      <c r="L57" s="9" t="n"/>
      <c r="M57" s="9" t="n"/>
      <c r="N57" s="10" t="n"/>
      <c r="O57" s="10" t="n"/>
      <c r="P57" s="9" t="n"/>
      <c r="Q57" s="9" t="n"/>
      <c r="R57" s="9" t="n"/>
    </row>
    <row r="58">
      <c r="A58" s="7" t="inlineStr">
        <is>
          <t>Pugliain</t>
        </is>
      </c>
      <c r="B58" s="7" t="inlineStr">
        <is>
          <t>Testata online</t>
        </is>
      </c>
      <c r="C58" s="7" t="inlineStr">
        <is>
          <t>Puglia</t>
        </is>
      </c>
      <c r="D58" s="7" t="inlineStr">
        <is>
          <t>attualità, cultura, eventi</t>
        </is>
      </c>
      <c r="E58" s="7" t="inlineStr">
        <is>
          <t>C</t>
        </is>
      </c>
      <c r="F58" s="7" t="inlineStr">
        <is>
          <t>Riceve comunicati stampa a un indirizzo dedicato: utile per l’agenda regionale.</t>
        </is>
      </c>
      <c r="G58" s="8" t="inlineStr">
        <is>
          <t>https://www.pugliain.net/</t>
        </is>
      </c>
      <c r="H58" s="8" t="inlineStr">
        <is>
          <t>https://www.pugliain.net/redazione/</t>
        </is>
      </c>
      <c r="I58" s="7" t="inlineStr">
        <is>
          <t>redazione@pugliain.net</t>
        </is>
      </c>
      <c r="J58" s="8" t="inlineStr">
        <is>
          <t>https://www.pugliain.net/redazione/ (“Per i tuoi comunicati stampa scrivici a”; consultato 7 ott 2026)</t>
        </is>
      </c>
      <c r="K58" s="9" t="n"/>
      <c r="L58" s="9" t="n"/>
      <c r="M58" s="9" t="n"/>
      <c r="N58" s="10" t="n"/>
      <c r="O58" s="10" t="n"/>
      <c r="P58" s="9" t="n"/>
      <c r="Q58" s="9" t="n"/>
      <c r="R58" s="9" t="n"/>
    </row>
    <row r="59">
      <c r="A59" s="7" t="inlineStr">
        <is>
          <t>Inchiostro Verde</t>
        </is>
      </c>
      <c r="B59" s="7" t="inlineStr">
        <is>
          <t>Testata online</t>
        </is>
      </c>
      <c r="C59" s="7" t="inlineStr">
        <is>
          <t>Taranto</t>
        </is>
      </c>
      <c r="D59" s="7" t="inlineStr">
        <is>
          <t>salute, ambiente, territorio</t>
        </is>
      </c>
      <c r="E59" s="7" t="inlineStr">
        <is>
          <t>C</t>
        </is>
      </c>
      <c r="F59" s="7" t="inlineStr">
        <is>
          <t>Taglio su salute e ambiente a Taranto: coerente con il tema della prevenzione.</t>
        </is>
      </c>
      <c r="G59" s="8" t="inlineStr">
        <is>
          <t>https://www.inchiostroverde.it/</t>
        </is>
      </c>
      <c r="H59" s="8" t="inlineStr">
        <is>
          <t>https://www.inchiostroverde.it/redazione/</t>
        </is>
      </c>
      <c r="I59" s="7" t="inlineStr">
        <is>
          <t>ufficio@magellanotech.it</t>
        </is>
      </c>
      <c r="J59" s="8" t="inlineStr">
        <is>
          <t>https://www.inchiostroverde.it/redazione/ (“Redazione e collaborazioni”; indirizzo della società editrice; consultato 7 ott 2026)</t>
        </is>
      </c>
      <c r="K59" s="9" t="n"/>
      <c r="L59" s="9" t="n"/>
      <c r="M59" s="9" t="n"/>
      <c r="N59" s="10" t="n"/>
      <c r="O59" s="10" t="n"/>
      <c r="P59" s="9" t="n"/>
      <c r="Q59" s="9" t="n"/>
      <c r="R59" s="9" t="n"/>
    </row>
    <row r="60">
      <c r="A60" s="7" t="inlineStr">
        <is>
          <t>Voce del Popolo Taranto</t>
        </is>
      </c>
      <c r="B60" s="7" t="inlineStr">
        <is>
          <t>Testata online</t>
        </is>
      </c>
      <c r="C60" s="7" t="inlineStr">
        <is>
          <t>Taranto</t>
        </is>
      </c>
      <c r="D60" s="7" t="inlineStr">
        <is>
          <t>attualità locale</t>
        </is>
      </c>
      <c r="E60" s="7" t="inlineStr">
        <is>
          <t>C</t>
        </is>
      </c>
      <c r="F60" s="7" t="inlineStr">
        <is>
          <t>Ha annunciato l’incontro della Fondazione a Taranto del dicembre 2025 (12 dicembre 2025).</t>
        </is>
      </c>
      <c r="G60" s="8" t="inlineStr">
        <is>
          <t>https://www.vocedelpopolo.org/</t>
        </is>
      </c>
      <c r="H60" s="7" t="inlineStr"/>
      <c r="I60" s="7" t="inlineStr"/>
      <c r="J60" s="7" t="inlineStr">
        <is>
          <t>Nessuna pagina contatti trovata; nessun indirizzo raccolto.</t>
        </is>
      </c>
      <c r="K60" s="9" t="n"/>
      <c r="L60" s="9" t="n"/>
      <c r="M60" s="9" t="n"/>
      <c r="N60" s="10" t="n"/>
      <c r="O60" s="10" t="n"/>
      <c r="P60" s="9" t="n"/>
      <c r="Q60" s="9" t="n"/>
      <c r="R60" s="9" t="n"/>
    </row>
    <row r="61">
      <c r="A61" s="7" t="inlineStr">
        <is>
          <t>Oraquadra</t>
        </is>
      </c>
      <c r="B61" s="7" t="inlineStr">
        <is>
          <t>Testata online</t>
        </is>
      </c>
      <c r="C61" s="7" t="inlineStr">
        <is>
          <t>Taranto e provincia</t>
        </is>
      </c>
      <c r="D61" s="7" t="inlineStr">
        <is>
          <t>cronaca, politica, cultura, associazionismo</t>
        </is>
      </c>
      <c r="E61" s="7" t="inlineStr">
        <is>
          <t>C</t>
        </is>
      </c>
      <c r="F61" s="7" t="inlineStr">
        <is>
          <t>Ha scritto della Fondazione il 22 aprile 2025; ha una categoria dedicata all’associazionismo locale.</t>
        </is>
      </c>
      <c r="G61" s="8" t="inlineStr">
        <is>
          <t>https://oraquadra.info/</t>
        </is>
      </c>
      <c r="H61" s="7" t="inlineStr"/>
      <c r="I61" s="7" t="inlineStr"/>
      <c r="J61" s="7" t="inlineStr">
        <is>
          <t>Nessuna pagina contatti aperta; nessun indirizzo raccolto.</t>
        </is>
      </c>
      <c r="K61" s="9" t="n"/>
      <c r="L61" s="9" t="n"/>
      <c r="M61" s="9" t="n"/>
      <c r="N61" s="10" t="n"/>
      <c r="O61" s="10" t="n"/>
      <c r="P61" s="9" t="n"/>
      <c r="Q61" s="9" t="n"/>
      <c r="R61" s="9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9" t="n"/>
      <c r="L62" s="9" t="n"/>
      <c r="M62" s="9" t="n"/>
      <c r="N62" s="10" t="n"/>
      <c r="O62" s="10" t="n"/>
      <c r="P62" s="9" t="n"/>
      <c r="Q62" s="9" t="n"/>
      <c r="R62" s="9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9" t="n"/>
      <c r="L63" s="9" t="n"/>
      <c r="M63" s="9" t="n"/>
      <c r="N63" s="10" t="n"/>
      <c r="O63" s="10" t="n"/>
      <c r="P63" s="9" t="n"/>
      <c r="Q63" s="9" t="n"/>
      <c r="R63" s="9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9" t="n"/>
      <c r="L64" s="9" t="n"/>
      <c r="M64" s="9" t="n"/>
      <c r="N64" s="10" t="n"/>
      <c r="O64" s="10" t="n"/>
      <c r="P64" s="9" t="n"/>
      <c r="Q64" s="9" t="n"/>
      <c r="R64" s="9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9" t="n"/>
      <c r="L65" s="9" t="n"/>
      <c r="M65" s="9" t="n"/>
      <c r="N65" s="10" t="n"/>
      <c r="O65" s="10" t="n"/>
      <c r="P65" s="9" t="n"/>
      <c r="Q65" s="9" t="n"/>
      <c r="R65" s="9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9" t="n"/>
      <c r="L66" s="9" t="n"/>
      <c r="M66" s="9" t="n"/>
      <c r="N66" s="10" t="n"/>
      <c r="O66" s="10" t="n"/>
      <c r="P66" s="9" t="n"/>
      <c r="Q66" s="9" t="n"/>
      <c r="R66" s="9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9" t="n"/>
      <c r="L67" s="9" t="n"/>
      <c r="M67" s="9" t="n"/>
      <c r="N67" s="10" t="n"/>
      <c r="O67" s="10" t="n"/>
      <c r="P67" s="9" t="n"/>
      <c r="Q67" s="9" t="n"/>
      <c r="R67" s="9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9" t="n"/>
      <c r="L68" s="9" t="n"/>
      <c r="M68" s="9" t="n"/>
      <c r="N68" s="10" t="n"/>
      <c r="O68" s="10" t="n"/>
      <c r="P68" s="9" t="n"/>
      <c r="Q68" s="9" t="n"/>
      <c r="R68" s="9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9" t="n"/>
      <c r="L69" s="9" t="n"/>
      <c r="M69" s="9" t="n"/>
      <c r="N69" s="10" t="n"/>
      <c r="O69" s="10" t="n"/>
      <c r="P69" s="9" t="n"/>
      <c r="Q69" s="9" t="n"/>
      <c r="R69" s="9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9" t="n"/>
      <c r="L70" s="9" t="n"/>
      <c r="M70" s="9" t="n"/>
      <c r="N70" s="10" t="n"/>
      <c r="O70" s="10" t="n"/>
      <c r="P70" s="9" t="n"/>
      <c r="Q70" s="9" t="n"/>
      <c r="R70" s="9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9" t="n"/>
      <c r="L71" s="9" t="n"/>
      <c r="M71" s="9" t="n"/>
      <c r="N71" s="10" t="n"/>
      <c r="O71" s="10" t="n"/>
      <c r="P71" s="9" t="n"/>
      <c r="Q71" s="9" t="n"/>
      <c r="R71" s="9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9" t="n"/>
      <c r="L72" s="9" t="n"/>
      <c r="M72" s="9" t="n"/>
      <c r="N72" s="10" t="n"/>
      <c r="O72" s="10" t="n"/>
      <c r="P72" s="9" t="n"/>
      <c r="Q72" s="9" t="n"/>
      <c r="R72" s="9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9" t="n"/>
      <c r="L73" s="9" t="n"/>
      <c r="M73" s="9" t="n"/>
      <c r="N73" s="10" t="n"/>
      <c r="O73" s="10" t="n"/>
      <c r="P73" s="9" t="n"/>
      <c r="Q73" s="9" t="n"/>
      <c r="R73" s="9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9" t="n"/>
      <c r="L74" s="9" t="n"/>
      <c r="M74" s="9" t="n"/>
      <c r="N74" s="10" t="n"/>
      <c r="O74" s="10" t="n"/>
      <c r="P74" s="9" t="n"/>
      <c r="Q74" s="9" t="n"/>
      <c r="R74" s="9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9" t="n"/>
      <c r="L75" s="9" t="n"/>
      <c r="M75" s="9" t="n"/>
      <c r="N75" s="10" t="n"/>
      <c r="O75" s="10" t="n"/>
      <c r="P75" s="9" t="n"/>
      <c r="Q75" s="9" t="n"/>
      <c r="R75" s="9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9" t="n"/>
      <c r="L76" s="9" t="n"/>
      <c r="M76" s="9" t="n"/>
      <c r="N76" s="10" t="n"/>
      <c r="O76" s="10" t="n"/>
      <c r="P76" s="9" t="n"/>
      <c r="Q76" s="9" t="n"/>
      <c r="R76" s="9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9" t="n"/>
      <c r="L77" s="9" t="n"/>
      <c r="M77" s="9" t="n"/>
      <c r="N77" s="10" t="n"/>
      <c r="O77" s="10" t="n"/>
      <c r="P77" s="9" t="n"/>
      <c r="Q77" s="9" t="n"/>
      <c r="R77" s="9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9" t="n"/>
      <c r="L78" s="9" t="n"/>
      <c r="M78" s="9" t="n"/>
      <c r="N78" s="10" t="n"/>
      <c r="O78" s="10" t="n"/>
      <c r="P78" s="9" t="n"/>
      <c r="Q78" s="9" t="n"/>
      <c r="R78" s="9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9" t="n"/>
      <c r="L79" s="9" t="n"/>
      <c r="M79" s="9" t="n"/>
      <c r="N79" s="10" t="n"/>
      <c r="O79" s="10" t="n"/>
      <c r="P79" s="9" t="n"/>
      <c r="Q79" s="9" t="n"/>
      <c r="R79" s="9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9" t="n"/>
      <c r="L80" s="9" t="n"/>
      <c r="M80" s="9" t="n"/>
      <c r="N80" s="10" t="n"/>
      <c r="O80" s="10" t="n"/>
      <c r="P80" s="9" t="n"/>
      <c r="Q80" s="9" t="n"/>
      <c r="R80" s="9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9" t="n"/>
      <c r="L81" s="9" t="n"/>
      <c r="M81" s="9" t="n"/>
      <c r="N81" s="10" t="n"/>
      <c r="O81" s="10" t="n"/>
      <c r="P81" s="9" t="n"/>
      <c r="Q81" s="9" t="n"/>
      <c r="R81" s="9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9" t="n"/>
      <c r="L82" s="9" t="n"/>
      <c r="M82" s="9" t="n"/>
      <c r="N82" s="10" t="n"/>
      <c r="O82" s="10" t="n"/>
      <c r="P82" s="9" t="n"/>
      <c r="Q82" s="9" t="n"/>
      <c r="R82" s="9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9" t="n"/>
      <c r="L83" s="9" t="n"/>
      <c r="M83" s="9" t="n"/>
      <c r="N83" s="10" t="n"/>
      <c r="O83" s="10" t="n"/>
      <c r="P83" s="9" t="n"/>
      <c r="Q83" s="9" t="n"/>
      <c r="R83" s="9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9" t="n"/>
      <c r="L84" s="9" t="n"/>
      <c r="M84" s="9" t="n"/>
      <c r="N84" s="10" t="n"/>
      <c r="O84" s="10" t="n"/>
      <c r="P84" s="9" t="n"/>
      <c r="Q84" s="9" t="n"/>
      <c r="R84" s="9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9" t="n"/>
      <c r="L85" s="9" t="n"/>
      <c r="M85" s="9" t="n"/>
      <c r="N85" s="10" t="n"/>
      <c r="O85" s="10" t="n"/>
      <c r="P85" s="9" t="n"/>
      <c r="Q85" s="9" t="n"/>
      <c r="R85" s="9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9" t="n"/>
      <c r="L86" s="9" t="n"/>
      <c r="M86" s="9" t="n"/>
      <c r="N86" s="10" t="n"/>
      <c r="O86" s="10" t="n"/>
      <c r="P86" s="9" t="n"/>
      <c r="Q86" s="9" t="n"/>
      <c r="R86" s="9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9" t="n"/>
      <c r="L87" s="9" t="n"/>
      <c r="M87" s="9" t="n"/>
      <c r="N87" s="10" t="n"/>
      <c r="O87" s="10" t="n"/>
      <c r="P87" s="9" t="n"/>
      <c r="Q87" s="9" t="n"/>
      <c r="R87" s="9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9" t="n"/>
      <c r="L88" s="9" t="n"/>
      <c r="M88" s="9" t="n"/>
      <c r="N88" s="10" t="n"/>
      <c r="O88" s="10" t="n"/>
      <c r="P88" s="9" t="n"/>
      <c r="Q88" s="9" t="n"/>
      <c r="R88" s="9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9" t="n"/>
      <c r="L89" s="9" t="n"/>
      <c r="M89" s="9" t="n"/>
      <c r="N89" s="10" t="n"/>
      <c r="O89" s="10" t="n"/>
      <c r="P89" s="9" t="n"/>
      <c r="Q89" s="9" t="n"/>
      <c r="R89" s="9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9" t="n"/>
      <c r="L90" s="9" t="n"/>
      <c r="M90" s="9" t="n"/>
      <c r="N90" s="10" t="n"/>
      <c r="O90" s="10" t="n"/>
      <c r="P90" s="9" t="n"/>
      <c r="Q90" s="9" t="n"/>
      <c r="R90" s="9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9" t="n"/>
      <c r="L91" s="9" t="n"/>
      <c r="M91" s="9" t="n"/>
      <c r="N91" s="10" t="n"/>
      <c r="O91" s="10" t="n"/>
      <c r="P91" s="9" t="n"/>
      <c r="Q91" s="9" t="n"/>
      <c r="R91" s="9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9" t="n"/>
      <c r="L92" s="9" t="n"/>
      <c r="M92" s="9" t="n"/>
      <c r="N92" s="10" t="n"/>
      <c r="O92" s="10" t="n"/>
      <c r="P92" s="9" t="n"/>
      <c r="Q92" s="9" t="n"/>
      <c r="R92" s="9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9" t="n"/>
      <c r="L93" s="9" t="n"/>
      <c r="M93" s="9" t="n"/>
      <c r="N93" s="10" t="n"/>
      <c r="O93" s="10" t="n"/>
      <c r="P93" s="9" t="n"/>
      <c r="Q93" s="9" t="n"/>
      <c r="R93" s="9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9" t="n"/>
      <c r="L94" s="9" t="n"/>
      <c r="M94" s="9" t="n"/>
      <c r="N94" s="10" t="n"/>
      <c r="O94" s="10" t="n"/>
      <c r="P94" s="9" t="n"/>
      <c r="Q94" s="9" t="n"/>
      <c r="R94" s="9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9" t="n"/>
      <c r="L95" s="9" t="n"/>
      <c r="M95" s="9" t="n"/>
      <c r="N95" s="10" t="n"/>
      <c r="O95" s="10" t="n"/>
      <c r="P95" s="9" t="n"/>
      <c r="Q95" s="9" t="n"/>
      <c r="R95" s="9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9" t="n"/>
      <c r="L96" s="9" t="n"/>
      <c r="M96" s="9" t="n"/>
      <c r="N96" s="10" t="n"/>
      <c r="O96" s="10" t="n"/>
      <c r="P96" s="9" t="n"/>
      <c r="Q96" s="9" t="n"/>
      <c r="R96" s="9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9" t="n"/>
      <c r="L97" s="9" t="n"/>
      <c r="M97" s="9" t="n"/>
      <c r="N97" s="10" t="n"/>
      <c r="O97" s="10" t="n"/>
      <c r="P97" s="9" t="n"/>
      <c r="Q97" s="9" t="n"/>
      <c r="R97" s="9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9" t="n"/>
      <c r="L98" s="9" t="n"/>
      <c r="M98" s="9" t="n"/>
      <c r="N98" s="10" t="n"/>
      <c r="O98" s="10" t="n"/>
      <c r="P98" s="9" t="n"/>
      <c r="Q98" s="9" t="n"/>
      <c r="R98" s="9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9" t="n"/>
      <c r="L99" s="9" t="n"/>
      <c r="M99" s="9" t="n"/>
      <c r="N99" s="10" t="n"/>
      <c r="O99" s="10" t="n"/>
      <c r="P99" s="9" t="n"/>
      <c r="Q99" s="9" t="n"/>
      <c r="R99" s="9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9" t="n"/>
      <c r="L100" s="9" t="n"/>
      <c r="M100" s="9" t="n"/>
      <c r="N100" s="10" t="n"/>
      <c r="O100" s="10" t="n"/>
      <c r="P100" s="9" t="n"/>
      <c r="Q100" s="9" t="n"/>
      <c r="R100" s="9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9" t="n"/>
      <c r="L101" s="9" t="n"/>
      <c r="M101" s="9" t="n"/>
      <c r="N101" s="10" t="n"/>
      <c r="O101" s="10" t="n"/>
      <c r="P101" s="9" t="n"/>
      <c r="Q101" s="9" t="n"/>
      <c r="R101" s="9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9" t="n"/>
      <c r="L102" s="9" t="n"/>
      <c r="M102" s="9" t="n"/>
      <c r="N102" s="10" t="n"/>
      <c r="O102" s="10" t="n"/>
      <c r="P102" s="9" t="n"/>
      <c r="Q102" s="9" t="n"/>
      <c r="R102" s="9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9" t="n"/>
      <c r="L103" s="9" t="n"/>
      <c r="M103" s="9" t="n"/>
      <c r="N103" s="10" t="n"/>
      <c r="O103" s="10" t="n"/>
      <c r="P103" s="9" t="n"/>
      <c r="Q103" s="9" t="n"/>
      <c r="R103" s="9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9" t="n"/>
      <c r="L104" s="9" t="n"/>
      <c r="M104" s="9" t="n"/>
      <c r="N104" s="10" t="n"/>
      <c r="O104" s="10" t="n"/>
      <c r="P104" s="9" t="n"/>
      <c r="Q104" s="9" t="n"/>
      <c r="R104" s="9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9" t="n"/>
      <c r="L105" s="9" t="n"/>
      <c r="M105" s="9" t="n"/>
      <c r="N105" s="10" t="n"/>
      <c r="O105" s="10" t="n"/>
      <c r="P105" s="9" t="n"/>
      <c r="Q105" s="9" t="n"/>
      <c r="R105" s="9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9" t="n"/>
      <c r="L106" s="9" t="n"/>
      <c r="M106" s="9" t="n"/>
      <c r="N106" s="10" t="n"/>
      <c r="O106" s="10" t="n"/>
      <c r="P106" s="9" t="n"/>
      <c r="Q106" s="9" t="n"/>
      <c r="R106" s="9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9" t="n"/>
      <c r="L107" s="9" t="n"/>
      <c r="M107" s="9" t="n"/>
      <c r="N107" s="10" t="n"/>
      <c r="O107" s="10" t="n"/>
      <c r="P107" s="9" t="n"/>
      <c r="Q107" s="9" t="n"/>
      <c r="R107" s="9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9" t="n"/>
      <c r="L108" s="9" t="n"/>
      <c r="M108" s="9" t="n"/>
      <c r="N108" s="10" t="n"/>
      <c r="O108" s="10" t="n"/>
      <c r="P108" s="9" t="n"/>
      <c r="Q108" s="9" t="n"/>
      <c r="R108" s="9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9" t="n"/>
      <c r="L109" s="9" t="n"/>
      <c r="M109" s="9" t="n"/>
      <c r="N109" s="10" t="n"/>
      <c r="O109" s="10" t="n"/>
      <c r="P109" s="9" t="n"/>
      <c r="Q109" s="9" t="n"/>
      <c r="R109" s="9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9" t="n"/>
      <c r="L110" s="9" t="n"/>
      <c r="M110" s="9" t="n"/>
      <c r="N110" s="10" t="n"/>
      <c r="O110" s="10" t="n"/>
      <c r="P110" s="9" t="n"/>
      <c r="Q110" s="9" t="n"/>
      <c r="R110" s="9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9" t="n"/>
      <c r="L111" s="9" t="n"/>
      <c r="M111" s="9" t="n"/>
      <c r="N111" s="10" t="n"/>
      <c r="O111" s="10" t="n"/>
      <c r="P111" s="9" t="n"/>
      <c r="Q111" s="9" t="n"/>
      <c r="R111" s="9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9" t="n"/>
      <c r="L112" s="9" t="n"/>
      <c r="M112" s="9" t="n"/>
      <c r="N112" s="10" t="n"/>
      <c r="O112" s="10" t="n"/>
      <c r="P112" s="9" t="n"/>
      <c r="Q112" s="9" t="n"/>
      <c r="R112" s="9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9" t="n"/>
      <c r="L113" s="9" t="n"/>
      <c r="M113" s="9" t="n"/>
      <c r="N113" s="10" t="n"/>
      <c r="O113" s="10" t="n"/>
      <c r="P113" s="9" t="n"/>
      <c r="Q113" s="9" t="n"/>
      <c r="R113" s="9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9" t="n"/>
      <c r="L114" s="9" t="n"/>
      <c r="M114" s="9" t="n"/>
      <c r="N114" s="10" t="n"/>
      <c r="O114" s="10" t="n"/>
      <c r="P114" s="9" t="n"/>
      <c r="Q114" s="9" t="n"/>
      <c r="R114" s="9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9" t="n"/>
      <c r="L115" s="9" t="n"/>
      <c r="M115" s="9" t="n"/>
      <c r="N115" s="10" t="n"/>
      <c r="O115" s="10" t="n"/>
      <c r="P115" s="9" t="n"/>
      <c r="Q115" s="9" t="n"/>
      <c r="R115" s="9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9" t="n"/>
      <c r="L116" s="9" t="n"/>
      <c r="M116" s="9" t="n"/>
      <c r="N116" s="10" t="n"/>
      <c r="O116" s="10" t="n"/>
      <c r="P116" s="9" t="n"/>
      <c r="Q116" s="9" t="n"/>
      <c r="R116" s="9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9" t="n"/>
      <c r="L117" s="9" t="n"/>
      <c r="M117" s="9" t="n"/>
      <c r="N117" s="10" t="n"/>
      <c r="O117" s="10" t="n"/>
      <c r="P117" s="9" t="n"/>
      <c r="Q117" s="9" t="n"/>
      <c r="R117" s="9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9" t="n"/>
      <c r="L118" s="9" t="n"/>
      <c r="M118" s="9" t="n"/>
      <c r="N118" s="10" t="n"/>
      <c r="O118" s="10" t="n"/>
      <c r="P118" s="9" t="n"/>
      <c r="Q118" s="9" t="n"/>
      <c r="R118" s="9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9" t="n"/>
      <c r="L119" s="9" t="n"/>
      <c r="M119" s="9" t="n"/>
      <c r="N119" s="10" t="n"/>
      <c r="O119" s="10" t="n"/>
      <c r="P119" s="9" t="n"/>
      <c r="Q119" s="9" t="n"/>
      <c r="R119" s="9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9" t="n"/>
      <c r="L120" s="9" t="n"/>
      <c r="M120" s="9" t="n"/>
      <c r="N120" s="10" t="n"/>
      <c r="O120" s="10" t="n"/>
      <c r="P120" s="9" t="n"/>
      <c r="Q120" s="9" t="n"/>
      <c r="R120" s="9" t="n"/>
    </row>
  </sheetData>
  <autoFilter ref="A1:R120"/>
  <dataValidations count="4">
    <dataValidation sqref="B2:B120" showDropDown="0" showInputMessage="0" showErrorMessage="0" allowBlank="1" errorTitle="Valore non previsto" error="Scegli un valore dall’elenco." type="list">
      <formula1>"quotidiano,online,TV,radio,agenzia,periodico,istituzionale"</formula1>
    </dataValidation>
    <dataValidation sqref="E2:E120" showDropDown="0" showInputMessage="0" showErrorMessage="0" allowBlank="1" errorTitle="Valore non previsto" error="Scegli un valore dall’elenco." type="list">
      <formula1>"A,B,C"</formula1>
    </dataValidation>
    <dataValidation sqref="P2:P120" showDropDown="0" showInputMessage="0" showErrorMessage="0" allowBlank="1" errorTitle="Valore non previsto" error="Scegli un valore dall’elenco." type="list">
      <formula1>"In attesa,Interessata,Pubblicato,Non interessata"</formula1>
    </dataValidation>
    <dataValidation sqref="Q2:Q120" showDropDown="0" showInputMessage="0" showErrorMessage="0" allowBlank="1" errorTitle="Valore non previsto" error="Scegli un valore dall’elenco." type="list">
      <formula1>"Sì,No"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J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G5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G6" r:id="rId12"/>
    <hyperlink xmlns:r="http://schemas.openxmlformats.org/officeDocument/2006/relationships" ref="H6" r:id="rId13"/>
    <hyperlink xmlns:r="http://schemas.openxmlformats.org/officeDocument/2006/relationships" ref="G7" r:id="rId14"/>
    <hyperlink xmlns:r="http://schemas.openxmlformats.org/officeDocument/2006/relationships" ref="H7" r:id="rId15"/>
    <hyperlink xmlns:r="http://schemas.openxmlformats.org/officeDocument/2006/relationships" ref="G8" r:id="rId16"/>
    <hyperlink xmlns:r="http://schemas.openxmlformats.org/officeDocument/2006/relationships" ref="H8" r:id="rId17"/>
    <hyperlink xmlns:r="http://schemas.openxmlformats.org/officeDocument/2006/relationships" ref="J8" r:id="rId18"/>
    <hyperlink xmlns:r="http://schemas.openxmlformats.org/officeDocument/2006/relationships" ref="G9" r:id="rId19"/>
    <hyperlink xmlns:r="http://schemas.openxmlformats.org/officeDocument/2006/relationships" ref="H9" r:id="rId20"/>
    <hyperlink xmlns:r="http://schemas.openxmlformats.org/officeDocument/2006/relationships" ref="J9" r:id="rId21"/>
    <hyperlink xmlns:r="http://schemas.openxmlformats.org/officeDocument/2006/relationships" ref="G10" r:id="rId22"/>
    <hyperlink xmlns:r="http://schemas.openxmlformats.org/officeDocument/2006/relationships" ref="G11" r:id="rId23"/>
    <hyperlink xmlns:r="http://schemas.openxmlformats.org/officeDocument/2006/relationships" ref="H11" r:id="rId24"/>
    <hyperlink xmlns:r="http://schemas.openxmlformats.org/officeDocument/2006/relationships" ref="J11" r:id="rId25"/>
    <hyperlink xmlns:r="http://schemas.openxmlformats.org/officeDocument/2006/relationships" ref="G12" r:id="rId26"/>
    <hyperlink xmlns:r="http://schemas.openxmlformats.org/officeDocument/2006/relationships" ref="H12" r:id="rId27"/>
    <hyperlink xmlns:r="http://schemas.openxmlformats.org/officeDocument/2006/relationships" ref="J12" r:id="rId28"/>
    <hyperlink xmlns:r="http://schemas.openxmlformats.org/officeDocument/2006/relationships" ref="G13" r:id="rId29"/>
    <hyperlink xmlns:r="http://schemas.openxmlformats.org/officeDocument/2006/relationships" ref="H13" r:id="rId30"/>
    <hyperlink xmlns:r="http://schemas.openxmlformats.org/officeDocument/2006/relationships" ref="G14" r:id="rId31"/>
    <hyperlink xmlns:r="http://schemas.openxmlformats.org/officeDocument/2006/relationships" ref="H14" r:id="rId32"/>
    <hyperlink xmlns:r="http://schemas.openxmlformats.org/officeDocument/2006/relationships" ref="J14" r:id="rId33"/>
    <hyperlink xmlns:r="http://schemas.openxmlformats.org/officeDocument/2006/relationships" ref="G15" r:id="rId34"/>
    <hyperlink xmlns:r="http://schemas.openxmlformats.org/officeDocument/2006/relationships" ref="H15" r:id="rId35"/>
    <hyperlink xmlns:r="http://schemas.openxmlformats.org/officeDocument/2006/relationships" ref="J15" r:id="rId36"/>
    <hyperlink xmlns:r="http://schemas.openxmlformats.org/officeDocument/2006/relationships" ref="G16" r:id="rId37"/>
    <hyperlink xmlns:r="http://schemas.openxmlformats.org/officeDocument/2006/relationships" ref="H16" r:id="rId38"/>
    <hyperlink xmlns:r="http://schemas.openxmlformats.org/officeDocument/2006/relationships" ref="J16" r:id="rId39"/>
    <hyperlink xmlns:r="http://schemas.openxmlformats.org/officeDocument/2006/relationships" ref="G17" r:id="rId40"/>
    <hyperlink xmlns:r="http://schemas.openxmlformats.org/officeDocument/2006/relationships" ref="J17" r:id="rId41"/>
    <hyperlink xmlns:r="http://schemas.openxmlformats.org/officeDocument/2006/relationships" ref="G18" r:id="rId42"/>
    <hyperlink xmlns:r="http://schemas.openxmlformats.org/officeDocument/2006/relationships" ref="H18" r:id="rId43"/>
    <hyperlink xmlns:r="http://schemas.openxmlformats.org/officeDocument/2006/relationships" ref="J18" r:id="rId44"/>
    <hyperlink xmlns:r="http://schemas.openxmlformats.org/officeDocument/2006/relationships" ref="G19" r:id="rId45"/>
    <hyperlink xmlns:r="http://schemas.openxmlformats.org/officeDocument/2006/relationships" ref="J19" r:id="rId46"/>
    <hyperlink xmlns:r="http://schemas.openxmlformats.org/officeDocument/2006/relationships" ref="G20" r:id="rId47"/>
    <hyperlink xmlns:r="http://schemas.openxmlformats.org/officeDocument/2006/relationships" ref="H20" r:id="rId48"/>
    <hyperlink xmlns:r="http://schemas.openxmlformats.org/officeDocument/2006/relationships" ref="J20" r:id="rId49"/>
    <hyperlink xmlns:r="http://schemas.openxmlformats.org/officeDocument/2006/relationships" ref="G21" r:id="rId50"/>
    <hyperlink xmlns:r="http://schemas.openxmlformats.org/officeDocument/2006/relationships" ref="H21" r:id="rId51"/>
    <hyperlink xmlns:r="http://schemas.openxmlformats.org/officeDocument/2006/relationships" ref="G22" r:id="rId52"/>
    <hyperlink xmlns:r="http://schemas.openxmlformats.org/officeDocument/2006/relationships" ref="H22" r:id="rId53"/>
    <hyperlink xmlns:r="http://schemas.openxmlformats.org/officeDocument/2006/relationships" ref="G23" r:id="rId54"/>
    <hyperlink xmlns:r="http://schemas.openxmlformats.org/officeDocument/2006/relationships" ref="H23" r:id="rId55"/>
    <hyperlink xmlns:r="http://schemas.openxmlformats.org/officeDocument/2006/relationships" ref="J23" r:id="rId56"/>
    <hyperlink xmlns:r="http://schemas.openxmlformats.org/officeDocument/2006/relationships" ref="G24" r:id="rId57"/>
    <hyperlink xmlns:r="http://schemas.openxmlformats.org/officeDocument/2006/relationships" ref="H24" r:id="rId58"/>
    <hyperlink xmlns:r="http://schemas.openxmlformats.org/officeDocument/2006/relationships" ref="J24" r:id="rId59"/>
    <hyperlink xmlns:r="http://schemas.openxmlformats.org/officeDocument/2006/relationships" ref="G25" r:id="rId60"/>
    <hyperlink xmlns:r="http://schemas.openxmlformats.org/officeDocument/2006/relationships" ref="H25" r:id="rId61"/>
    <hyperlink xmlns:r="http://schemas.openxmlformats.org/officeDocument/2006/relationships" ref="J25" r:id="rId62"/>
    <hyperlink xmlns:r="http://schemas.openxmlformats.org/officeDocument/2006/relationships" ref="G26" r:id="rId63"/>
    <hyperlink xmlns:r="http://schemas.openxmlformats.org/officeDocument/2006/relationships" ref="H26" r:id="rId64"/>
    <hyperlink xmlns:r="http://schemas.openxmlformats.org/officeDocument/2006/relationships" ref="J26" r:id="rId65"/>
    <hyperlink xmlns:r="http://schemas.openxmlformats.org/officeDocument/2006/relationships" ref="G27" r:id="rId66"/>
    <hyperlink xmlns:r="http://schemas.openxmlformats.org/officeDocument/2006/relationships" ref="H27" r:id="rId67"/>
    <hyperlink xmlns:r="http://schemas.openxmlformats.org/officeDocument/2006/relationships" ref="G28" r:id="rId68"/>
    <hyperlink xmlns:r="http://schemas.openxmlformats.org/officeDocument/2006/relationships" ref="H28" r:id="rId69"/>
    <hyperlink xmlns:r="http://schemas.openxmlformats.org/officeDocument/2006/relationships" ref="J28" r:id="rId70"/>
    <hyperlink xmlns:r="http://schemas.openxmlformats.org/officeDocument/2006/relationships" ref="G29" r:id="rId71"/>
    <hyperlink xmlns:r="http://schemas.openxmlformats.org/officeDocument/2006/relationships" ref="H29" r:id="rId72"/>
    <hyperlink xmlns:r="http://schemas.openxmlformats.org/officeDocument/2006/relationships" ref="J29" r:id="rId73"/>
    <hyperlink xmlns:r="http://schemas.openxmlformats.org/officeDocument/2006/relationships" ref="G30" r:id="rId74"/>
    <hyperlink xmlns:r="http://schemas.openxmlformats.org/officeDocument/2006/relationships" ref="H30" r:id="rId75"/>
    <hyperlink xmlns:r="http://schemas.openxmlformats.org/officeDocument/2006/relationships" ref="G31" r:id="rId76"/>
    <hyperlink xmlns:r="http://schemas.openxmlformats.org/officeDocument/2006/relationships" ref="G32" r:id="rId77"/>
    <hyperlink xmlns:r="http://schemas.openxmlformats.org/officeDocument/2006/relationships" ref="H32" r:id="rId78"/>
    <hyperlink xmlns:r="http://schemas.openxmlformats.org/officeDocument/2006/relationships" ref="J32" r:id="rId79"/>
    <hyperlink xmlns:r="http://schemas.openxmlformats.org/officeDocument/2006/relationships" ref="G33" r:id="rId80"/>
    <hyperlink xmlns:r="http://schemas.openxmlformats.org/officeDocument/2006/relationships" ref="G34" r:id="rId81"/>
    <hyperlink xmlns:r="http://schemas.openxmlformats.org/officeDocument/2006/relationships" ref="J34" r:id="rId82"/>
    <hyperlink xmlns:r="http://schemas.openxmlformats.org/officeDocument/2006/relationships" ref="G35" r:id="rId83"/>
    <hyperlink xmlns:r="http://schemas.openxmlformats.org/officeDocument/2006/relationships" ref="H35" r:id="rId84"/>
    <hyperlink xmlns:r="http://schemas.openxmlformats.org/officeDocument/2006/relationships" ref="J35" r:id="rId85"/>
    <hyperlink xmlns:r="http://schemas.openxmlformats.org/officeDocument/2006/relationships" ref="G36" r:id="rId86"/>
    <hyperlink xmlns:r="http://schemas.openxmlformats.org/officeDocument/2006/relationships" ref="H36" r:id="rId87"/>
    <hyperlink xmlns:r="http://schemas.openxmlformats.org/officeDocument/2006/relationships" ref="J36" r:id="rId88"/>
    <hyperlink xmlns:r="http://schemas.openxmlformats.org/officeDocument/2006/relationships" ref="G37" r:id="rId89"/>
    <hyperlink xmlns:r="http://schemas.openxmlformats.org/officeDocument/2006/relationships" ref="H37" r:id="rId90"/>
    <hyperlink xmlns:r="http://schemas.openxmlformats.org/officeDocument/2006/relationships" ref="J37" r:id="rId91"/>
    <hyperlink xmlns:r="http://schemas.openxmlformats.org/officeDocument/2006/relationships" ref="G38" r:id="rId92"/>
    <hyperlink xmlns:r="http://schemas.openxmlformats.org/officeDocument/2006/relationships" ref="H38" r:id="rId93"/>
    <hyperlink xmlns:r="http://schemas.openxmlformats.org/officeDocument/2006/relationships" ref="J38" r:id="rId94"/>
    <hyperlink xmlns:r="http://schemas.openxmlformats.org/officeDocument/2006/relationships" ref="G39" r:id="rId95"/>
    <hyperlink xmlns:r="http://schemas.openxmlformats.org/officeDocument/2006/relationships" ref="H39" r:id="rId96"/>
    <hyperlink xmlns:r="http://schemas.openxmlformats.org/officeDocument/2006/relationships" ref="J39" r:id="rId97"/>
    <hyperlink xmlns:r="http://schemas.openxmlformats.org/officeDocument/2006/relationships" ref="G40" r:id="rId98"/>
    <hyperlink xmlns:r="http://schemas.openxmlformats.org/officeDocument/2006/relationships" ref="H40" r:id="rId99"/>
    <hyperlink xmlns:r="http://schemas.openxmlformats.org/officeDocument/2006/relationships" ref="J40" r:id="rId100"/>
    <hyperlink xmlns:r="http://schemas.openxmlformats.org/officeDocument/2006/relationships" ref="G41" r:id="rId101"/>
    <hyperlink xmlns:r="http://schemas.openxmlformats.org/officeDocument/2006/relationships" ref="J41" r:id="rId102"/>
    <hyperlink xmlns:r="http://schemas.openxmlformats.org/officeDocument/2006/relationships" ref="G42" r:id="rId103"/>
    <hyperlink xmlns:r="http://schemas.openxmlformats.org/officeDocument/2006/relationships" ref="H42" r:id="rId104"/>
    <hyperlink xmlns:r="http://schemas.openxmlformats.org/officeDocument/2006/relationships" ref="J42" r:id="rId105"/>
    <hyperlink xmlns:r="http://schemas.openxmlformats.org/officeDocument/2006/relationships" ref="G43" r:id="rId106"/>
    <hyperlink xmlns:r="http://schemas.openxmlformats.org/officeDocument/2006/relationships" ref="H43" r:id="rId107"/>
    <hyperlink xmlns:r="http://schemas.openxmlformats.org/officeDocument/2006/relationships" ref="J43" r:id="rId108"/>
    <hyperlink xmlns:r="http://schemas.openxmlformats.org/officeDocument/2006/relationships" ref="G44" r:id="rId109"/>
    <hyperlink xmlns:r="http://schemas.openxmlformats.org/officeDocument/2006/relationships" ref="H44" r:id="rId110"/>
    <hyperlink xmlns:r="http://schemas.openxmlformats.org/officeDocument/2006/relationships" ref="J44" r:id="rId111"/>
    <hyperlink xmlns:r="http://schemas.openxmlformats.org/officeDocument/2006/relationships" ref="G45" r:id="rId112"/>
    <hyperlink xmlns:r="http://schemas.openxmlformats.org/officeDocument/2006/relationships" ref="J45" r:id="rId113"/>
    <hyperlink xmlns:r="http://schemas.openxmlformats.org/officeDocument/2006/relationships" ref="G46" r:id="rId114"/>
    <hyperlink xmlns:r="http://schemas.openxmlformats.org/officeDocument/2006/relationships" ref="H46" r:id="rId115"/>
    <hyperlink xmlns:r="http://schemas.openxmlformats.org/officeDocument/2006/relationships" ref="J46" r:id="rId116"/>
    <hyperlink xmlns:r="http://schemas.openxmlformats.org/officeDocument/2006/relationships" ref="G47" r:id="rId117"/>
    <hyperlink xmlns:r="http://schemas.openxmlformats.org/officeDocument/2006/relationships" ref="H47" r:id="rId118"/>
    <hyperlink xmlns:r="http://schemas.openxmlformats.org/officeDocument/2006/relationships" ref="J47" r:id="rId119"/>
    <hyperlink xmlns:r="http://schemas.openxmlformats.org/officeDocument/2006/relationships" ref="G48" r:id="rId120"/>
    <hyperlink xmlns:r="http://schemas.openxmlformats.org/officeDocument/2006/relationships" ref="H48" r:id="rId121"/>
    <hyperlink xmlns:r="http://schemas.openxmlformats.org/officeDocument/2006/relationships" ref="J48" r:id="rId122"/>
    <hyperlink xmlns:r="http://schemas.openxmlformats.org/officeDocument/2006/relationships" ref="G49" r:id="rId123"/>
    <hyperlink xmlns:r="http://schemas.openxmlformats.org/officeDocument/2006/relationships" ref="H49" r:id="rId124"/>
    <hyperlink xmlns:r="http://schemas.openxmlformats.org/officeDocument/2006/relationships" ref="J49" r:id="rId125"/>
    <hyperlink xmlns:r="http://schemas.openxmlformats.org/officeDocument/2006/relationships" ref="G50" r:id="rId126"/>
    <hyperlink xmlns:r="http://schemas.openxmlformats.org/officeDocument/2006/relationships" ref="H50" r:id="rId127"/>
    <hyperlink xmlns:r="http://schemas.openxmlformats.org/officeDocument/2006/relationships" ref="J50" r:id="rId128"/>
    <hyperlink xmlns:r="http://schemas.openxmlformats.org/officeDocument/2006/relationships" ref="G51" r:id="rId129"/>
    <hyperlink xmlns:r="http://schemas.openxmlformats.org/officeDocument/2006/relationships" ref="H51" r:id="rId130"/>
    <hyperlink xmlns:r="http://schemas.openxmlformats.org/officeDocument/2006/relationships" ref="G52" r:id="rId131"/>
    <hyperlink xmlns:r="http://schemas.openxmlformats.org/officeDocument/2006/relationships" ref="H52" r:id="rId132"/>
    <hyperlink xmlns:r="http://schemas.openxmlformats.org/officeDocument/2006/relationships" ref="G53" r:id="rId133"/>
    <hyperlink xmlns:r="http://schemas.openxmlformats.org/officeDocument/2006/relationships" ref="H53" r:id="rId134"/>
    <hyperlink xmlns:r="http://schemas.openxmlformats.org/officeDocument/2006/relationships" ref="J53" r:id="rId135"/>
    <hyperlink xmlns:r="http://schemas.openxmlformats.org/officeDocument/2006/relationships" ref="G54" r:id="rId136"/>
    <hyperlink xmlns:r="http://schemas.openxmlformats.org/officeDocument/2006/relationships" ref="H54" r:id="rId137"/>
    <hyperlink xmlns:r="http://schemas.openxmlformats.org/officeDocument/2006/relationships" ref="J54" r:id="rId138"/>
    <hyperlink xmlns:r="http://schemas.openxmlformats.org/officeDocument/2006/relationships" ref="G55" r:id="rId139"/>
    <hyperlink xmlns:r="http://schemas.openxmlformats.org/officeDocument/2006/relationships" ref="H55" r:id="rId140"/>
    <hyperlink xmlns:r="http://schemas.openxmlformats.org/officeDocument/2006/relationships" ref="J55" r:id="rId141"/>
    <hyperlink xmlns:r="http://schemas.openxmlformats.org/officeDocument/2006/relationships" ref="G56" r:id="rId142"/>
    <hyperlink xmlns:r="http://schemas.openxmlformats.org/officeDocument/2006/relationships" ref="H56" r:id="rId143"/>
    <hyperlink xmlns:r="http://schemas.openxmlformats.org/officeDocument/2006/relationships" ref="G57" r:id="rId144"/>
    <hyperlink xmlns:r="http://schemas.openxmlformats.org/officeDocument/2006/relationships" ref="H57" r:id="rId145"/>
    <hyperlink xmlns:r="http://schemas.openxmlformats.org/officeDocument/2006/relationships" ref="J57" r:id="rId146"/>
    <hyperlink xmlns:r="http://schemas.openxmlformats.org/officeDocument/2006/relationships" ref="G58" r:id="rId147"/>
    <hyperlink xmlns:r="http://schemas.openxmlformats.org/officeDocument/2006/relationships" ref="H58" r:id="rId148"/>
    <hyperlink xmlns:r="http://schemas.openxmlformats.org/officeDocument/2006/relationships" ref="J58" r:id="rId149"/>
    <hyperlink xmlns:r="http://schemas.openxmlformats.org/officeDocument/2006/relationships" ref="G59" r:id="rId150"/>
    <hyperlink xmlns:r="http://schemas.openxmlformats.org/officeDocument/2006/relationships" ref="H59" r:id="rId151"/>
    <hyperlink xmlns:r="http://schemas.openxmlformats.org/officeDocument/2006/relationships" ref="J59" r:id="rId152"/>
    <hyperlink xmlns:r="http://schemas.openxmlformats.org/officeDocument/2006/relationships" ref="G60" r:id="rId153"/>
    <hyperlink xmlns:r="http://schemas.openxmlformats.org/officeDocument/2006/relationships" ref="G61" r:id="rId15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4" customWidth="1" min="4" max="4"/>
    <col width="48" customWidth="1" min="5" max="5"/>
    <col width="18" customWidth="1" min="6" max="6"/>
    <col width="34" customWidth="1" min="7" max="7"/>
    <col width="22" customWidth="1" min="8" max="8"/>
    <col width="14" customWidth="1" min="9" max="9"/>
    <col width="11" customWidth="1" min="10" max="10"/>
    <col width="11" customWidth="1" min="11" max="11"/>
    <col width="11" customWidth="1" min="12" max="12"/>
    <col width="20" customWidth="1" min="13" max="13"/>
    <col width="11" customWidth="1" min="14" max="14"/>
    <col width="11" customWidth="1" min="15" max="15"/>
    <col width="24" customWidth="1" min="16" max="16"/>
    <col width="40" customWidth="1" min="17" max="17"/>
  </cols>
  <sheetData>
    <row r="1" ht="30" customHeight="1">
      <c r="A1" s="6" t="inlineStr">
        <is>
          <t>Data</t>
        </is>
      </c>
      <c r="B1" s="6" t="inlineStr">
        <is>
          <t>Testata</t>
        </is>
      </c>
      <c r="C1" s="6" t="inlineStr">
        <is>
          <t>Tipo</t>
        </is>
      </c>
      <c r="D1" s="6" t="inlineStr">
        <is>
          <t>Area</t>
        </is>
      </c>
      <c r="E1" s="6" t="inlineStr">
        <is>
          <t>Titolo</t>
        </is>
      </c>
      <c r="F1" s="6" t="inlineStr">
        <is>
          <t>Autore</t>
        </is>
      </c>
      <c r="G1" s="6" t="inlineStr">
        <is>
          <t>Link</t>
        </is>
      </c>
      <c r="H1" s="6" t="inlineStr">
        <is>
          <t>Argomento</t>
        </is>
      </c>
      <c r="I1" s="6" t="inlineStr">
        <is>
          <t>Formato</t>
        </is>
      </c>
      <c r="J1" s="6" t="inlineStr">
        <is>
          <t>Cita la Fondazione</t>
        </is>
      </c>
      <c r="K1" s="6" t="inlineStr">
        <is>
          <t>Cita l’evento</t>
        </is>
      </c>
      <c r="L1" s="6" t="inlineStr">
        <is>
          <t>Cita sponsor</t>
        </is>
      </c>
      <c r="M1" s="6" t="inlineStr">
        <is>
          <t>Quali sponsor</t>
        </is>
      </c>
      <c r="N1" s="6" t="inlineStr">
        <is>
          <t>Tono</t>
        </is>
      </c>
      <c r="O1" s="6" t="inlineStr">
        <is>
          <t>Nella rassegna</t>
        </is>
      </c>
      <c r="P1" s="6" t="inlineStr">
        <is>
          <t>File</t>
        </is>
      </c>
      <c r="Q1" s="6" t="inlineStr">
        <is>
          <t>Note</t>
        </is>
      </c>
    </row>
    <row r="2">
      <c r="A2" s="11" t="n">
        <v>44537</v>
      </c>
      <c r="B2" s="12" t="inlineStr">
        <is>
          <t>Oltre il Fatto</t>
        </is>
      </c>
      <c r="C2" s="12" t="inlineStr">
        <is>
          <t>online</t>
        </is>
      </c>
      <c r="D2" s="12" t="inlineStr"/>
      <c r="E2" s="12" t="inlineStr">
        <is>
          <t>Premio Italia Giovane: il tarantino Guido Putignano tra i premiati dell’ottava edizione.</t>
        </is>
      </c>
      <c r="F2" s="12" t="inlineStr">
        <is>
          <t>Redazione</t>
        </is>
      </c>
      <c r="G2" s="13" t="inlineStr">
        <is>
          <t>https://www.oltreilfatto.it/2021/12/premio-italia-giovane-il-tarantino-guido-putignano-tra-i-premiati-dellottava-edizione/</t>
        </is>
      </c>
      <c r="H2" s="12" t="inlineStr">
        <is>
          <t>Profilo del Presidente (2021)</t>
        </is>
      </c>
      <c r="I2" s="12" t="inlineStr">
        <is>
          <t>Articolo</t>
        </is>
      </c>
      <c r="J2" s="12" t="inlineStr">
        <is>
          <t>No</t>
        </is>
      </c>
      <c r="K2" s="12" t="inlineStr">
        <is>
          <t>No</t>
        </is>
      </c>
      <c r="L2" s="12" t="inlineStr">
        <is>
          <t>No</t>
        </is>
      </c>
      <c r="M2" s="12" t="inlineStr"/>
      <c r="N2" s="12" t="inlineStr">
        <is>
          <t>Neutro</t>
        </is>
      </c>
      <c r="O2" s="12" t="inlineStr">
        <is>
          <t>No</t>
        </is>
      </c>
      <c r="P2" s="12" t="inlineStr"/>
      <c r="Q2" s="12" t="inlineStr">
        <is>
          <t>Uso consigliato: interna; Precedente alla Fondazione. Trovato il 7 ottobre 2026 durante la revisione.; Verificata il 7 ottobre 2026</t>
        </is>
      </c>
    </row>
    <row r="3">
      <c r="A3" s="11" t="n">
        <v>44540</v>
      </c>
      <c r="B3" s="12" t="inlineStr">
        <is>
          <t>TarantoTV Cittadella Radio (canale YouTube)</t>
        </is>
      </c>
      <c r="C3" s="12" t="inlineStr">
        <is>
          <t>TV</t>
        </is>
      </c>
      <c r="D3" s="12" t="inlineStr"/>
      <c r="E3" s="12" t="inlineStr">
        <is>
          <t>10/12/2021 - BUONGIORNO TARANTO - INTERVISTA GUIDO PUTIGNANO</t>
        </is>
      </c>
      <c r="F3" s="12" t="inlineStr"/>
      <c r="G3" s="13" t="inlineStr">
        <is>
          <t>https://www.youtube.com/watch?v=kgB_22PQ6L4</t>
        </is>
      </c>
      <c r="H3" s="12" t="inlineStr">
        <is>
          <t>Intervista al Presidente (2021)</t>
        </is>
      </c>
      <c r="I3" s="12" t="inlineStr">
        <is>
          <t>Servizio TV</t>
        </is>
      </c>
      <c r="J3" s="12" t="inlineStr">
        <is>
          <t>No</t>
        </is>
      </c>
      <c r="K3" s="12" t="inlineStr">
        <is>
          <t>No</t>
        </is>
      </c>
      <c r="L3" s="12" t="inlineStr">
        <is>
          <t>No</t>
        </is>
      </c>
      <c r="M3" s="12" t="inlineStr"/>
      <c r="N3" s="12" t="inlineStr">
        <is>
          <t>Neutro</t>
        </is>
      </c>
      <c r="O3" s="12" t="inlineStr">
        <is>
          <t>No</t>
        </is>
      </c>
      <c r="P3" s="12" t="inlineStr"/>
      <c r="Q3" s="12" t="inlineStr">
        <is>
          <t>Uso consigliato: interna; Precedente alla Fondazione.; Verificata il 7 ottobre 2026</t>
        </is>
      </c>
    </row>
    <row r="4">
      <c r="A4" s="11" t="n">
        <v>44542</v>
      </c>
      <c r="B4" s="12" t="inlineStr">
        <is>
          <t>Oltre il Fatto</t>
        </is>
      </c>
      <c r="C4" s="12" t="inlineStr">
        <is>
          <t>online</t>
        </is>
      </c>
      <c r="D4" s="12" t="inlineStr"/>
      <c r="E4" s="12" t="inlineStr">
        <is>
          <t>Premio Italia Giovane: intervista a Guido Putignano</t>
        </is>
      </c>
      <c r="F4" s="12" t="inlineStr">
        <is>
          <t>Francesco Ruggieri</t>
        </is>
      </c>
      <c r="G4" s="13" t="inlineStr">
        <is>
          <t>https://www.oltreilfatto.it/2021/12/premio-italia-giovane-intervista-a-guido-putignano/</t>
        </is>
      </c>
      <c r="H4" s="12" t="inlineStr">
        <is>
          <t>Intervista al Presidente (2021)</t>
        </is>
      </c>
      <c r="I4" s="12" t="inlineStr">
        <is>
          <t>Articolo</t>
        </is>
      </c>
      <c r="J4" s="12" t="inlineStr">
        <is>
          <t>No</t>
        </is>
      </c>
      <c r="K4" s="12" t="inlineStr">
        <is>
          <t>No</t>
        </is>
      </c>
      <c r="L4" s="12" t="inlineStr">
        <is>
          <t>No</t>
        </is>
      </c>
      <c r="M4" s="12" t="inlineStr"/>
      <c r="N4" s="12" t="inlineStr">
        <is>
          <t>Neutro</t>
        </is>
      </c>
      <c r="O4" s="12" t="inlineStr">
        <is>
          <t>No</t>
        </is>
      </c>
      <c r="P4" s="12" t="inlineStr"/>
      <c r="Q4" s="12" t="inlineStr">
        <is>
          <t>Uso consigliato: interna; Precedente alla Fondazione. Stessa firma di A7 e C11 (R12). Trovato il 7 ottobre 2026 durante la revisione.; Verificata il 7 ottobre 2026</t>
        </is>
      </c>
    </row>
    <row r="5">
      <c r="A5" s="11" t="n">
        <v>44638</v>
      </c>
      <c r="B5" s="12" t="inlineStr">
        <is>
          <t>Premio Italia Giovane (canale YouTube del premio)</t>
        </is>
      </c>
      <c r="C5" s="12" t="inlineStr">
        <is>
          <t>online</t>
        </is>
      </c>
      <c r="D5" s="12" t="inlineStr"/>
      <c r="E5" s="12" t="inlineStr">
        <is>
          <t>Premio Italia Giovane 2021 - Intervista a Guido Putignano</t>
        </is>
      </c>
      <c r="F5" s="12" t="inlineStr"/>
      <c r="G5" s="13" t="inlineStr">
        <is>
          <t>https://www.youtube.com/watch?v=HRJz70U5dFc</t>
        </is>
      </c>
      <c r="H5" s="12" t="inlineStr">
        <is>
          <t>Intervista al Presidente (2022)</t>
        </is>
      </c>
      <c r="I5" s="12" t="inlineStr">
        <is>
          <t>Articolo</t>
        </is>
      </c>
      <c r="J5" s="12" t="inlineStr">
        <is>
          <t>No</t>
        </is>
      </c>
      <c r="K5" s="12" t="inlineStr">
        <is>
          <t>No</t>
        </is>
      </c>
      <c r="L5" s="12" t="inlineStr">
        <is>
          <t>No</t>
        </is>
      </c>
      <c r="M5" s="12" t="inlineStr"/>
      <c r="N5" s="12" t="inlineStr">
        <is>
          <t>Neutro</t>
        </is>
      </c>
      <c r="O5" s="12" t="inlineStr">
        <is>
          <t>No</t>
        </is>
      </c>
      <c r="P5" s="12" t="inlineStr"/>
      <c r="Q5" s="12" t="inlineStr">
        <is>
          <t>Uso consigliato: interna; Tipo indicato: online (canale di un premio, non testata); Precedente alla Fondazione; non è una testata.; Verificata il 7 ottobre 2026</t>
        </is>
      </c>
    </row>
    <row r="6">
      <c r="A6" s="11" t="n">
        <v>44851</v>
      </c>
      <c r="B6" s="12" t="inlineStr">
        <is>
          <t>La Gazzetta del Mezzogiorno</t>
        </is>
      </c>
      <c r="C6" s="12" t="inlineStr">
        <is>
          <t>quotidiano</t>
        </is>
      </c>
      <c r="D6" s="12" t="inlineStr"/>
      <c r="E6" s="12" t="inlineStr">
        <is>
          <t>Taranto, il 20enne Guido Putignano nominato "il più influente in Italia" in Scienze Biologiche</t>
        </is>
      </c>
      <c r="F6" s="12" t="inlineStr">
        <is>
          <t>Redazione online</t>
        </is>
      </c>
      <c r="G6" s="13" t="inlineStr">
        <is>
          <t>https://www.lagazzettadelmezzogiorno.it/news/taranto/1362422/taranto-il-20enne-guido-putignano-nominato-il-piu-influente-in-italia-in-scienze-biologiche.html</t>
        </is>
      </c>
      <c r="H6" s="12" t="inlineStr">
        <is>
          <t>Profilo del Presidente (2022)</t>
        </is>
      </c>
      <c r="I6" s="12" t="inlineStr">
        <is>
          <t>Articolo</t>
        </is>
      </c>
      <c r="J6" s="12" t="inlineStr">
        <is>
          <t>No</t>
        </is>
      </c>
      <c r="K6" s="12" t="inlineStr">
        <is>
          <t>No</t>
        </is>
      </c>
      <c r="L6" s="12" t="inlineStr">
        <is>
          <t>No</t>
        </is>
      </c>
      <c r="M6" s="12" t="inlineStr"/>
      <c r="N6" s="12" t="inlineStr">
        <is>
          <t>Neutro</t>
        </is>
      </c>
      <c r="O6" s="12" t="inlineStr">
        <is>
          <t>No</t>
        </is>
      </c>
      <c r="P6" s="12" t="inlineStr"/>
      <c r="Q6" s="12" t="inlineStr">
        <is>
          <t>Uso consigliato: interna; Titolo con superlativo; precedente alla Fondazione.; Verificata il 7 ottobre 2026</t>
        </is>
      </c>
    </row>
    <row r="7">
      <c r="A7" s="11" t="n">
        <v>44852</v>
      </c>
      <c r="B7" s="12" t="inlineStr">
        <is>
          <t>Buonasera24 (Taranto Buonasera)</t>
        </is>
      </c>
      <c r="C7" s="12" t="inlineStr">
        <is>
          <t>quotidiano</t>
        </is>
      </c>
      <c r="D7" s="12" t="inlineStr"/>
      <c r="E7" s="12" t="inlineStr">
        <is>
          <t>Guido Putignano, a soli vent’anni eccellenza italiana</t>
        </is>
      </c>
      <c r="F7" s="12" t="inlineStr">
        <is>
          <t>La Redazione</t>
        </is>
      </c>
      <c r="G7" s="13" t="inlineStr">
        <is>
          <t>https://www.buonasera24.it/news/cronaca/452451/guido-putignano-a-soli-ventanni-eccellenza-italiana.html</t>
        </is>
      </c>
      <c r="H7" s="12" t="inlineStr">
        <is>
          <t>Profilo del Presidente (2022)</t>
        </is>
      </c>
      <c r="I7" s="12" t="inlineStr">
        <is>
          <t>Articolo</t>
        </is>
      </c>
      <c r="J7" s="12" t="inlineStr">
        <is>
          <t>No</t>
        </is>
      </c>
      <c r="K7" s="12" t="inlineStr">
        <is>
          <t>No</t>
        </is>
      </c>
      <c r="L7" s="12" t="inlineStr">
        <is>
          <t>No</t>
        </is>
      </c>
      <c r="M7" s="12" t="inlineStr"/>
      <c r="N7" s="12" t="inlineStr">
        <is>
          <t>Neutro</t>
        </is>
      </c>
      <c r="O7" s="12" t="inlineStr">
        <is>
          <t>No</t>
        </is>
      </c>
      <c r="P7" s="12" t="inlineStr"/>
      <c r="Q7" s="12" t="inlineStr">
        <is>
          <t>Uso consigliato: interna; Titolo enfatico; precedente alla Fondazione.; Verificata il 7 ottobre 2026</t>
        </is>
      </c>
    </row>
    <row r="8">
      <c r="A8" s="11" t="n">
        <v>45547</v>
      </c>
      <c r="B8" s="12" t="inlineStr">
        <is>
          <t>Ordine dei Biologi della Puglia e della Basilicata</t>
        </is>
      </c>
      <c r="C8" s="12" t="inlineStr">
        <is>
          <t>istituzionale</t>
        </is>
      </c>
      <c r="D8" s="12" t="inlineStr"/>
      <c r="E8" s="12" t="inlineStr">
        <is>
          <t>Dall’11 al 13 ottobre via alla prima edizione del “Taranto Biotech Days-BioNext”</t>
        </is>
      </c>
      <c r="F8" s="12" t="inlineStr"/>
      <c r="G8" s="13" t="inlineStr">
        <is>
          <t>https://biologipugliabasilicata.it/dall11-al-13-ottobre-la-prima-edizione-del-tarantobiotechdays-bionext/</t>
        </is>
      </c>
      <c r="H8" s="12" t="inlineStr">
        <is>
          <t>Taranto Biotech Days 2024</t>
        </is>
      </c>
      <c r="I8" s="12" t="inlineStr">
        <is>
          <t>Articolo</t>
        </is>
      </c>
      <c r="J8" s="12" t="inlineStr">
        <is>
          <t>No</t>
        </is>
      </c>
      <c r="K8" s="12" t="inlineStr">
        <is>
          <t>No</t>
        </is>
      </c>
      <c r="L8" s="12" t="inlineStr">
        <is>
          <t>No</t>
        </is>
      </c>
      <c r="M8" s="12" t="inlineStr"/>
      <c r="N8" s="12" t="inlineStr">
        <is>
          <t>Neutro</t>
        </is>
      </c>
      <c r="O8" s="12" t="inlineStr">
        <is>
          <t>No</t>
        </is>
      </c>
      <c r="P8" s="12" t="inlineStr"/>
      <c r="Q8" s="12" t="inlineStr">
        <is>
          <t>Uso consigliato: interna; Conferma SafesPro come organizzatore del 2024.; Verificata il 7 ottobre 2026</t>
        </is>
      </c>
    </row>
    <row r="9">
      <c r="A9" s="11" t="n">
        <v>45554</v>
      </c>
      <c r="B9" s="12" t="inlineStr">
        <is>
          <t>Buonasera24 (Taranto Buonasera)</t>
        </is>
      </c>
      <c r="C9" s="12" t="inlineStr">
        <is>
          <t>quotidiano</t>
        </is>
      </c>
      <c r="D9" s="12" t="inlineStr"/>
      <c r="E9" s="12" t="inlineStr">
        <is>
          <t>Realizzare a Taranto un centro di ricerca per terapie cellulari</t>
        </is>
      </c>
      <c r="F9" s="12" t="inlineStr">
        <is>
          <t>La Redazione</t>
        </is>
      </c>
      <c r="G9" s="13" t="inlineStr">
        <is>
          <t>https://www.buonasera24.it/news/home/866072/realizzare-a-taranto-un-centro-di-ricerca-per-terapie-cellulari.html</t>
        </is>
      </c>
      <c r="H9" s="12" t="inlineStr">
        <is>
          <t>Taranto Biotech Days 2024 (annuncio)</t>
        </is>
      </c>
      <c r="I9" s="12" t="inlineStr">
        <is>
          <t>Articolo</t>
        </is>
      </c>
      <c r="J9" s="12" t="inlineStr">
        <is>
          <t>No</t>
        </is>
      </c>
      <c r="K9" s="12" t="inlineStr">
        <is>
          <t>No</t>
        </is>
      </c>
      <c r="L9" s="12" t="inlineStr">
        <is>
          <t>No</t>
        </is>
      </c>
      <c r="M9" s="12" t="inlineStr"/>
      <c r="N9" s="12" t="inlineStr">
        <is>
          <t>Neutro</t>
        </is>
      </c>
      <c r="O9" s="12" t="inlineStr">
        <is>
          <t>Sì</t>
        </is>
      </c>
      <c r="P9" s="12" t="inlineStr"/>
      <c r="Q9" s="12" t="inlineStr">
        <is>
          <t>Uso consigliato: pubblica, sezione storica; Il testo elenca il Comune di Taranto tra i coorganizzatori del 2024 e nomina persone fuori elenco: non riprendere.; Verificata il 7 ottobre 2026</t>
        </is>
      </c>
    </row>
    <row r="10">
      <c r="A10" s="11" t="n">
        <v>45554</v>
      </c>
      <c r="B10" s="12" t="inlineStr">
        <is>
          <t>Oltre il Fatto</t>
        </is>
      </c>
      <c r="C10" s="12" t="inlineStr">
        <is>
          <t>online</t>
        </is>
      </c>
      <c r="D10" s="12" t="inlineStr"/>
      <c r="E10" s="12" t="inlineStr">
        <is>
          <t>A Taranto un progetto per un centro di ricerca per terapie cellulari</t>
        </is>
      </c>
      <c r="F10" s="12" t="inlineStr">
        <is>
          <t>Francesco Ruggieri</t>
        </is>
      </c>
      <c r="G10" s="13" t="inlineStr">
        <is>
          <t>https://www.oltreilfatto.it/2024/09/a-taranto-un-progetto-per-un-centro-di-ricerca-per-terapie-cellulari/</t>
        </is>
      </c>
      <c r="H10" s="12" t="inlineStr">
        <is>
          <t>Taranto Biotech Days 2024 (annuncio)</t>
        </is>
      </c>
      <c r="I10" s="12" t="inlineStr">
        <is>
          <t>Articolo</t>
        </is>
      </c>
      <c r="J10" s="12" t="inlineStr">
        <is>
          <t>No</t>
        </is>
      </c>
      <c r="K10" s="12" t="inlineStr">
        <is>
          <t>No</t>
        </is>
      </c>
      <c r="L10" s="12" t="inlineStr">
        <is>
          <t>No</t>
        </is>
      </c>
      <c r="M10" s="12" t="inlineStr"/>
      <c r="N10" s="12" t="inlineStr">
        <is>
          <t>Neutro</t>
        </is>
      </c>
      <c r="O10" s="12" t="inlineStr">
        <is>
          <t>Sì</t>
        </is>
      </c>
      <c r="P10" s="12" t="inlineStr"/>
      <c r="Q10" s="12" t="inlineStr">
        <is>
          <t>Uso consigliato: ripresa di A1, indicata nella scheda di A1; Come A1: cita il Comune tra i coorganizzatori e nomina persone fuori elenco. Stessa firma di A7 e C11 (R12). Assente da copertura.md, trovato il 7 ottobre 2026.; Verificata il 7 ottobre 2026</t>
        </is>
      </c>
    </row>
    <row r="11">
      <c r="A11" s="11" t="n">
        <v>45555</v>
      </c>
      <c r="B11" s="12" t="inlineStr">
        <is>
          <t>Università di Bari, Dipartimento Jonico (uniba.it)</t>
        </is>
      </c>
      <c r="C11" s="12" t="inlineStr">
        <is>
          <t>istituzionale</t>
        </is>
      </c>
      <c r="D11" s="12" t="inlineStr"/>
      <c r="E11" s="12" t="inlineStr">
        <is>
          <t>Taranto Biotech Days</t>
        </is>
      </c>
      <c r="F11" s="12" t="inlineStr"/>
      <c r="G11" s="13" t="inlineStr">
        <is>
          <t>https://www.uniba.it/it/ricerca/dipartimenti/sistemi-giuridici-ed-economici/eventi/eventi-anno-2024/taranto-biotech-days</t>
        </is>
      </c>
      <c r="H11" s="12" t="inlineStr">
        <is>
          <t>Taranto Biotech Days 2024</t>
        </is>
      </c>
      <c r="I11" s="12" t="inlineStr">
        <is>
          <t>Articolo</t>
        </is>
      </c>
      <c r="J11" s="12" t="inlineStr">
        <is>
          <t>No</t>
        </is>
      </c>
      <c r="K11" s="12" t="inlineStr">
        <is>
          <t>No</t>
        </is>
      </c>
      <c r="L11" s="12" t="inlineStr">
        <is>
          <t>No</t>
        </is>
      </c>
      <c r="M11" s="12" t="inlineStr"/>
      <c r="N11" s="12" t="inlineStr">
        <is>
          <t>Neutro</t>
        </is>
      </c>
      <c r="O11" s="12" t="inlineStr">
        <is>
          <t>No</t>
        </is>
      </c>
      <c r="P11" s="12" t="inlineStr"/>
      <c r="Q11" s="12" t="inlineStr">
        <is>
          <t>Uso consigliato: interna; Già in esterni.md F1.; Verificata il 7 ottobre 2026</t>
        </is>
      </c>
    </row>
    <row r="12">
      <c r="A12" s="11" t="n">
        <v>45561</v>
      </c>
      <c r="B12" s="12" t="inlineStr">
        <is>
          <t>Osservatorio Terapie Avanzate</t>
        </is>
      </c>
      <c r="C12" s="12" t="inlineStr">
        <is>
          <t>periodico</t>
        </is>
      </c>
      <c r="D12" s="12" t="inlineStr"/>
      <c r="E12" s="12" t="inlineStr">
        <is>
          <t>Taranto Biotech Days 2024. 11-13 ottobre 2024, Taranto</t>
        </is>
      </c>
      <c r="F12" s="12" t="inlineStr">
        <is>
          <t>Redazione</t>
        </is>
      </c>
      <c r="G12" s="13" t="inlineStr">
        <is>
          <t>https://www.osservatorioterapieavanzate.it/agenda/taranto-biotech-days-2024-11-13-ottobre-2024-taranto</t>
        </is>
      </c>
      <c r="H12" s="12" t="inlineStr">
        <is>
          <t>Taranto Biotech Days 2024 (agenda)</t>
        </is>
      </c>
      <c r="I12" s="12" t="inlineStr">
        <is>
          <t>Articolo</t>
        </is>
      </c>
      <c r="J12" s="12" t="inlineStr">
        <is>
          <t>No</t>
        </is>
      </c>
      <c r="K12" s="12" t="inlineStr">
        <is>
          <t>No</t>
        </is>
      </c>
      <c r="L12" s="12" t="inlineStr">
        <is>
          <t>No</t>
        </is>
      </c>
      <c r="M12" s="12" t="inlineStr"/>
      <c r="N12" s="12" t="inlineStr">
        <is>
          <t>Neutro</t>
        </is>
      </c>
      <c r="O12" s="12" t="inlineStr">
        <is>
          <t>No</t>
        </is>
      </c>
      <c r="P12" s="12" t="inlineStr"/>
      <c r="Q12" s="12" t="inlineStr">
        <is>
          <t>Uso consigliato: interna; Solo agenda; non nomina né la Fondazione né il Presidente.; Verificata il 7 ottobre 2026</t>
        </is>
      </c>
    </row>
    <row r="13">
      <c r="A13" s="11" t="n">
        <v>45562</v>
      </c>
      <c r="B13" s="12" t="inlineStr">
        <is>
          <t>Biotecnologi Italiani (associazione nazionale)</t>
        </is>
      </c>
      <c r="C13" s="12" t="inlineStr">
        <is>
          <t>online</t>
        </is>
      </c>
      <c r="D13" s="12" t="inlineStr"/>
      <c r="E13" s="12" t="inlineStr">
        <is>
          <t>Taranto Biotech Days</t>
        </is>
      </c>
      <c r="F13" s="12" t="inlineStr">
        <is>
          <t>Segreteria</t>
        </is>
      </c>
      <c r="G13" s="13" t="inlineStr">
        <is>
          <t>https://www.biotecnologitaliani.it/2024/09/27/taranto-biotech-days/</t>
        </is>
      </c>
      <c r="H13" s="12" t="inlineStr">
        <is>
          <t>Taranto Biotech Days 2024</t>
        </is>
      </c>
      <c r="I13" s="12" t="inlineStr">
        <is>
          <t>Articolo</t>
        </is>
      </c>
      <c r="J13" s="12" t="inlineStr">
        <is>
          <t>No</t>
        </is>
      </c>
      <c r="K13" s="12" t="inlineStr">
        <is>
          <t>No</t>
        </is>
      </c>
      <c r="L13" s="12" t="inlineStr">
        <is>
          <t>No</t>
        </is>
      </c>
      <c r="M13" s="12" t="inlineStr"/>
      <c r="N13" s="12" t="inlineStr">
        <is>
          <t>Neutro</t>
        </is>
      </c>
      <c r="O13" s="12" t="inlineStr">
        <is>
          <t>No</t>
        </is>
      </c>
      <c r="P13" s="12" t="inlineStr"/>
      <c r="Q13" s="12" t="inlineStr">
        <is>
          <t>Uso consigliato: interna; Tipo indicato: online (associazione); Verificata il 7 ottobre 2026</t>
        </is>
      </c>
    </row>
    <row r="14">
      <c r="A14" s="11" t="n">
        <v>45573</v>
      </c>
      <c r="B14" s="12" t="inlineStr">
        <is>
          <t>TrendSanità</t>
        </is>
      </c>
      <c r="C14" s="12" t="inlineStr">
        <is>
          <t>periodico</t>
        </is>
      </c>
      <c r="D14" s="12" t="inlineStr"/>
      <c r="E14" s="12" t="inlineStr">
        <is>
          <t>«Taranto per tre giorni capitale mondiale della biologia sintetica». La visione del ventenne Guido Putignano</t>
        </is>
      </c>
      <c r="F14" s="12" t="inlineStr">
        <is>
          <t>Cesare Buquicchio</t>
        </is>
      </c>
      <c r="G14" s="13" t="inlineStr">
        <is>
          <t>https://trendsanita.it/taranto-capitale-mondiale-biologia-sintetica-guido-putignano/</t>
        </is>
      </c>
      <c r="H14" s="12" t="inlineStr">
        <is>
          <t>Intervista al Presidente; Taranto Biotech Days 2024</t>
        </is>
      </c>
      <c r="I14" s="12" t="inlineStr">
        <is>
          <t>Articolo</t>
        </is>
      </c>
      <c r="J14" s="12" t="inlineStr">
        <is>
          <t>No</t>
        </is>
      </c>
      <c r="K14" s="12" t="inlineStr">
        <is>
          <t>No</t>
        </is>
      </c>
      <c r="L14" s="12" t="inlineStr">
        <is>
          <t>No</t>
        </is>
      </c>
      <c r="M14" s="12" t="inlineStr"/>
      <c r="N14" s="12" t="inlineStr">
        <is>
          <t>Neutro</t>
        </is>
      </c>
      <c r="O14" s="12" t="inlineStr">
        <is>
          <t>No</t>
        </is>
      </c>
      <c r="P14" s="12" t="inlineStr"/>
      <c r="Q14" s="12" t="inlineStr">
        <is>
          <t>Uso consigliato: interna; La testata si dichiara media partner dei Taranto Biotech Days. Titolo con superlativo; cita la NASA tra i relatori (dato non verificato).; Verificata il 7 ottobre 2026</t>
        </is>
      </c>
    </row>
    <row r="15">
      <c r="A15" s="11" t="n">
        <v>45575</v>
      </c>
      <c r="B15" s="12" t="inlineStr">
        <is>
          <t>Oltre il Fatto</t>
        </is>
      </c>
      <c r="C15" s="12" t="inlineStr">
        <is>
          <t>online</t>
        </is>
      </c>
      <c r="D15" s="12" t="inlineStr"/>
      <c r="E15" s="12" t="inlineStr">
        <is>
          <t>Taranto Biotech Days: l’11,12 e 13 ottobre in città i migliori esperti internazionali di biotecnologie</t>
        </is>
      </c>
      <c r="F15" s="12" t="inlineStr">
        <is>
          <t>Redazione</t>
        </is>
      </c>
      <c r="G15" s="13" t="inlineStr">
        <is>
          <t>https://www.oltreilfatto.it/2024/10/taranto-biotech-days-l1112-e-13-ottobre-in-citta-i-migliori-esperti-internazionali-di-biotecnologie/</t>
        </is>
      </c>
      <c r="H15" s="12" t="inlineStr">
        <is>
          <t>Taranto Biotech Days 2024 (conferenza stampa)</t>
        </is>
      </c>
      <c r="I15" s="12" t="inlineStr">
        <is>
          <t>Articolo</t>
        </is>
      </c>
      <c r="J15" s="12" t="inlineStr">
        <is>
          <t>No</t>
        </is>
      </c>
      <c r="K15" s="12" t="inlineStr">
        <is>
          <t>No</t>
        </is>
      </c>
      <c r="L15" s="12" t="inlineStr">
        <is>
          <t>No</t>
        </is>
      </c>
      <c r="M15" s="12" t="inlineStr"/>
      <c r="N15" s="12" t="inlineStr">
        <is>
          <t>Neutro</t>
        </is>
      </c>
      <c r="O15" s="12" t="inlineStr">
        <is>
          <t>No</t>
        </is>
      </c>
      <c r="P15" s="12" t="inlineStr"/>
      <c r="Q15" s="12" t="inlineStr">
        <is>
          <t>Uso consigliato: interna; Titolo con superlativo. Elenca tra i presenti amministratori comunali e un consulente SafesPro il cui nome coincide con la firma di A7, A8, C11, D4, E1.; Verificata il 7 ottobre 2026</t>
        </is>
      </c>
    </row>
    <row r="16">
      <c r="A16" s="11" t="n">
        <v>45575</v>
      </c>
      <c r="B16" s="12" t="inlineStr">
        <is>
          <t>CosmoPolis (WebTV)</t>
        </is>
      </c>
      <c r="C16" s="12" t="inlineStr">
        <is>
          <t>online</t>
        </is>
      </c>
      <c r="D16" s="12" t="inlineStr"/>
      <c r="E16" s="12" t="inlineStr">
        <is>
          <t>Biotecnologie e terapie cellulari al Taranto Biotech Days</t>
        </is>
      </c>
      <c r="F16" s="12" t="inlineStr">
        <is>
          <t>CP</t>
        </is>
      </c>
      <c r="G16" s="13" t="inlineStr">
        <is>
          <t>https://www.cosmopolis.media/webtv/biotecnologie-e-terapie-cellulari-al-taranto-biotech-days/segreteria-di-redazione/</t>
        </is>
      </c>
      <c r="H16" s="12" t="inlineStr">
        <is>
          <t>Taranto Biotech Days 2024 (video)</t>
        </is>
      </c>
      <c r="I16" s="12" t="inlineStr">
        <is>
          <t>Articolo</t>
        </is>
      </c>
      <c r="J16" s="12" t="inlineStr">
        <is>
          <t>No</t>
        </is>
      </c>
      <c r="K16" s="12" t="inlineStr">
        <is>
          <t>No</t>
        </is>
      </c>
      <c r="L16" s="12" t="inlineStr">
        <is>
          <t>No</t>
        </is>
      </c>
      <c r="M16" s="12" t="inlineStr"/>
      <c r="N16" s="12" t="inlineStr">
        <is>
          <t>Neutro</t>
        </is>
      </c>
      <c r="O16" s="12" t="inlineStr">
        <is>
          <t>No</t>
        </is>
      </c>
      <c r="P16" s="12" t="inlineStr"/>
      <c r="Q16" s="12" t="inlineStr">
        <is>
          <t>Uso consigliato: interna, dopo visione del video (DA CONFERMARE); Tipo indicato: TV (video online); Assente da copertura.md, trovato il 7 ottobre 2026.; Verificata il 7 ottobre 2026</t>
        </is>
      </c>
    </row>
    <row r="17">
      <c r="A17" s="11" t="n">
        <v>45576</v>
      </c>
      <c r="B17" s="12" t="inlineStr">
        <is>
          <t>Noi Notizie</t>
        </is>
      </c>
      <c r="C17" s="12" t="inlineStr">
        <is>
          <t>online</t>
        </is>
      </c>
      <c r="D17" s="12" t="inlineStr"/>
      <c r="E17" s="12" t="inlineStr">
        <is>
          <t>Taranto biotech days da oggi</t>
        </is>
      </c>
      <c r="F17" s="12" t="inlineStr">
        <is>
          <t>Agostino Quero</t>
        </is>
      </c>
      <c r="G17" s="13" t="inlineStr">
        <is>
          <t>https://www.noinotizie.it/11-10-2024/taranto-biotech-days-da-oggi/</t>
        </is>
      </c>
      <c r="H17" s="12" t="inlineStr">
        <is>
          <t>Taranto Biotech Days 2024 (apertura)</t>
        </is>
      </c>
      <c r="I17" s="12" t="inlineStr">
        <is>
          <t>Articolo</t>
        </is>
      </c>
      <c r="J17" s="12" t="inlineStr">
        <is>
          <t>No</t>
        </is>
      </c>
      <c r="K17" s="12" t="inlineStr">
        <is>
          <t>No</t>
        </is>
      </c>
      <c r="L17" s="12" t="inlineStr">
        <is>
          <t>No</t>
        </is>
      </c>
      <c r="M17" s="12" t="inlineStr"/>
      <c r="N17" s="12" t="inlineStr">
        <is>
          <t>Neutro</t>
        </is>
      </c>
      <c r="O17" s="12" t="inlineStr">
        <is>
          <t>Sì</t>
        </is>
      </c>
      <c r="P17" s="12" t="inlineStr"/>
      <c r="Q17" s="12" t="inlineStr">
        <is>
          <t>Uso consigliato: pubblica, sezione storica (in alternativa ad A1); Come A1: cita il Comune tra i coorganizzatori del 2024.; Verificata il 7 ottobre 2026</t>
        </is>
      </c>
    </row>
    <row r="18">
      <c r="A18" s="11" t="n">
        <v>45576</v>
      </c>
      <c r="B18" s="12" t="inlineStr">
        <is>
          <t>L’Edicola</t>
        </is>
      </c>
      <c r="C18" s="12" t="inlineStr">
        <is>
          <t>quotidiano</t>
        </is>
      </c>
      <c r="D18" s="12" t="inlineStr"/>
      <c r="E18" s="12" t="inlineStr">
        <is>
          <t>I Biotech Days a Taranto, studiosi e startup a confronto: «Qui la ricerca cellulare»</t>
        </is>
      </c>
      <c r="F18" s="12" t="inlineStr">
        <is>
          <t>Vittorio Ricapito</t>
        </is>
      </c>
      <c r="G18" s="13" t="inlineStr">
        <is>
          <t>https://ledicola.it/news/taranto-iniziano-i-biotech-days-qui-la-ricerca-cellulare/</t>
        </is>
      </c>
      <c r="H18" s="12" t="inlineStr">
        <is>
          <t>Taranto Biotech Days 2024 (apertura)</t>
        </is>
      </c>
      <c r="I18" s="12" t="inlineStr">
        <is>
          <t>Articolo</t>
        </is>
      </c>
      <c r="J18" s="12" t="inlineStr">
        <is>
          <t>No</t>
        </is>
      </c>
      <c r="K18" s="12" t="inlineStr">
        <is>
          <t>No</t>
        </is>
      </c>
      <c r="L18" s="12" t="inlineStr">
        <is>
          <t>No</t>
        </is>
      </c>
      <c r="M18" s="12" t="inlineStr"/>
      <c r="N18" s="12" t="inlineStr">
        <is>
          <t>Neutro</t>
        </is>
      </c>
      <c r="O18" s="12" t="inlineStr">
        <is>
          <t>Sì</t>
        </is>
      </c>
      <c r="P18" s="12" t="inlineStr"/>
      <c r="Q18" s="12" t="inlineStr">
        <is>
          <t>Uso consigliato: pubblica, sezione storica; L’Edicola (già L’Edicola del Sud) è un quotidiano: la gerenza (https://ledicola.it/gerenza/) riporta registrazione al Tribunale di Bari n. 22 del 12/10/2021 e lo stampatore. Il testo riporta un giudizio sul Presidente e dichiarazioni del 2024: non riprendere.; Verificata il 7 ottobre 2026</t>
        </is>
      </c>
    </row>
    <row r="19">
      <c r="A19" s="11" t="n">
        <v>45576</v>
      </c>
      <c r="B19" s="12" t="inlineStr">
        <is>
          <t>Studio 100</t>
        </is>
      </c>
      <c r="C19" s="12" t="inlineStr">
        <is>
          <t>TV</t>
        </is>
      </c>
      <c r="D19" s="12" t="inlineStr"/>
      <c r="E19" s="12" t="inlineStr">
        <is>
          <t>Da oggi i Taranto Biotech Days, con esperti internazionali di biotecnologie</t>
        </is>
      </c>
      <c r="F19" s="12" t="inlineStr">
        <is>
          <t>Redazione</t>
        </is>
      </c>
      <c r="G19" s="13" t="inlineStr">
        <is>
          <t>https://www.studio100.it/2024/10/11/da-oggi-i-taranto-biotech-days-con-esperti-internazionali-di-biotecnologie/</t>
        </is>
      </c>
      <c r="H19" s="12" t="inlineStr">
        <is>
          <t>Taranto Biotech Days 2024 (apertura)</t>
        </is>
      </c>
      <c r="I19" s="12" t="inlineStr">
        <is>
          <t>Servizio TV</t>
        </is>
      </c>
      <c r="J19" s="12" t="inlineStr">
        <is>
          <t>No</t>
        </is>
      </c>
      <c r="K19" s="12" t="inlineStr">
        <is>
          <t>No</t>
        </is>
      </c>
      <c r="L19" s="12" t="inlineStr">
        <is>
          <t>No</t>
        </is>
      </c>
      <c r="M19" s="12" t="inlineStr"/>
      <c r="N19" s="12" t="inlineStr">
        <is>
          <t>Neutro</t>
        </is>
      </c>
      <c r="O19" s="12" t="inlineStr">
        <is>
          <t>Sì</t>
        </is>
      </c>
      <c r="P19" s="12" t="inlineStr"/>
      <c r="Q19" s="12" t="inlineStr">
        <is>
          <t>Uso consigliato: pubblica, sezione storica; Verificata il 7 ottobre 2026</t>
        </is>
      </c>
    </row>
    <row r="20">
      <c r="A20" s="11" t="n">
        <v>45577</v>
      </c>
      <c r="B20" s="12" t="inlineStr">
        <is>
          <t>Oltre il Fatto</t>
        </is>
      </c>
      <c r="C20" s="12" t="inlineStr">
        <is>
          <t>online</t>
        </is>
      </c>
      <c r="D20" s="12" t="inlineStr"/>
      <c r="E20" s="12" t="inlineStr">
        <is>
          <t>Taranto Biotech Days: buona la prima</t>
        </is>
      </c>
      <c r="F20" s="12" t="inlineStr">
        <is>
          <t>Francesco Ruggieri</t>
        </is>
      </c>
      <c r="G20" s="13" t="inlineStr">
        <is>
          <t>https://www.oltreilfatto.it/2024/10/taranto-biotech-days-buona-la-prima/</t>
        </is>
      </c>
      <c r="H20" s="12" t="inlineStr">
        <is>
          <t>Taranto Biotech Days 2024 (prima giornata)</t>
        </is>
      </c>
      <c r="I20" s="12" t="inlineStr">
        <is>
          <t>Articolo</t>
        </is>
      </c>
      <c r="J20" s="12" t="inlineStr">
        <is>
          <t>No</t>
        </is>
      </c>
      <c r="K20" s="12" t="inlineStr">
        <is>
          <t>No</t>
        </is>
      </c>
      <c r="L20" s="12" t="inlineStr">
        <is>
          <t>No</t>
        </is>
      </c>
      <c r="M20" s="12" t="inlineStr"/>
      <c r="N20" s="12" t="inlineStr">
        <is>
          <t>Neutro</t>
        </is>
      </c>
      <c r="O20" s="12" t="inlineStr">
        <is>
          <t>Sì</t>
        </is>
      </c>
      <c r="P20" s="12" t="inlineStr"/>
      <c r="Q20" s="12" t="inlineStr">
        <is>
          <t>Uso consigliato: pubblica, sezione storica; Riporta “circa 1.200” studenti e presenze istituzionali: non riprendere le cifre (vedi R5). Indipendenza (R12): la firma è quella di una persona che A7 indica tra i giornalisti che hanno condotto i lavori della prima giornata dei Taranto Biotech Days 2024 e che Studio 100, l’11 dicembre 2025, presenta come “della Fondazione BioErgoTech” (D6). DA CONFERMARE se pubblicarla.; Verificata il 7 ottobre 2026</t>
        </is>
      </c>
    </row>
    <row r="21">
      <c r="A21" s="11" t="n">
        <v>45578</v>
      </c>
      <c r="B21" s="12" t="inlineStr">
        <is>
          <t>Oltre il Fatto</t>
        </is>
      </c>
      <c r="C21" s="12" t="inlineStr">
        <is>
          <t>online</t>
        </is>
      </c>
      <c r="D21" s="12" t="inlineStr"/>
      <c r="E21" s="12" t="inlineStr">
        <is>
          <t>Taranto Biotech Days: Melucci lancia l’idea di una fondazione pubblico privato per il centro di ricerca</t>
        </is>
      </c>
      <c r="F21" s="12" t="inlineStr">
        <is>
          <t>Francesco Ruggieri</t>
        </is>
      </c>
      <c r="G21" s="13" t="inlineStr">
        <is>
          <t>https://www.oltreilfatto.it/2024/10/taranto-biotech-days-melucci-lancia-lidea-di-una-fondazione-pubblico-privato-per-il-centro-di-ricerca/</t>
        </is>
      </c>
      <c r="H21" s="12" t="inlineStr">
        <is>
          <t>BioShot 2024; menzione speciale alla startup tarantina</t>
        </is>
      </c>
      <c r="I21" s="12" t="inlineStr">
        <is>
          <t>Articolo</t>
        </is>
      </c>
      <c r="J21" s="12" t="inlineStr">
        <is>
          <t>No</t>
        </is>
      </c>
      <c r="K21" s="12" t="inlineStr">
        <is>
          <t>No</t>
        </is>
      </c>
      <c r="L21" s="12" t="inlineStr">
        <is>
          <t>No</t>
        </is>
      </c>
      <c r="M21" s="12" t="inlineStr"/>
      <c r="N21" s="12" t="inlineStr">
        <is>
          <t>Neutro</t>
        </is>
      </c>
      <c r="O21" s="12" t="inlineStr">
        <is>
          <t>No</t>
        </is>
      </c>
      <c r="P21" s="12" t="inlineStr"/>
      <c r="Q21" s="12" t="inlineStr">
        <is>
          <t>Uso consigliato: interna; Il titolo nomina l’allora sindaco e un’ipotesi di fondazione pubblico privata: non usare in documenti pubblici. Indica nove startup (vedi R6).; Verificata il 7 ottobre 2026</t>
        </is>
      </c>
    </row>
    <row r="22">
      <c r="A22" s="11" t="n">
        <v>45578</v>
      </c>
      <c r="B22" s="12" t="inlineStr">
        <is>
          <t>CosmoPolis (WebTV)</t>
        </is>
      </c>
      <c r="C22" s="12" t="inlineStr">
        <is>
          <t>online</t>
        </is>
      </c>
      <c r="D22" s="12" t="inlineStr"/>
      <c r="E22" s="12" t="inlineStr">
        <is>
          <t>Innovazione e ricerca al Taranto Biotech Days 2024</t>
        </is>
      </c>
      <c r="F22" s="12" t="inlineStr">
        <is>
          <t>CP</t>
        </is>
      </c>
      <c r="G22" s="13" t="inlineStr">
        <is>
          <t>https://www.cosmopolis.media/webtv/innovazione-e-ricerca-al-taranto-biotech-days-2024/segreteria-di-redazione/</t>
        </is>
      </c>
      <c r="H22" s="12" t="inlineStr">
        <is>
          <t>Taranto Biotech Days 2024 (video)</t>
        </is>
      </c>
      <c r="I22" s="12" t="inlineStr">
        <is>
          <t>Articolo</t>
        </is>
      </c>
      <c r="J22" s="12" t="inlineStr">
        <is>
          <t>No</t>
        </is>
      </c>
      <c r="K22" s="12" t="inlineStr">
        <is>
          <t>No</t>
        </is>
      </c>
      <c r="L22" s="12" t="inlineStr">
        <is>
          <t>No</t>
        </is>
      </c>
      <c r="M22" s="12" t="inlineStr"/>
      <c r="N22" s="12" t="inlineStr">
        <is>
          <t>Neutro</t>
        </is>
      </c>
      <c r="O22" s="12" t="inlineStr">
        <is>
          <t>No</t>
        </is>
      </c>
      <c r="P22" s="12" t="inlineStr"/>
      <c r="Q22" s="12" t="inlineStr">
        <is>
          <t>Uso consigliato: interna, dopo visione del video (DA CONFERMARE); Tipo indicato: TV (video online); Assente da copertura.md, trovato il 7 ottobre 2026.; Verificata il 7 ottobre 2026</t>
        </is>
      </c>
    </row>
    <row r="23">
      <c r="A23" s="11" t="n">
        <v>45579</v>
      </c>
      <c r="B23" s="12" t="inlineStr">
        <is>
          <t>Studio 100</t>
        </is>
      </c>
      <c r="C23" s="12" t="inlineStr">
        <is>
          <t>TV</t>
        </is>
      </c>
      <c r="D23" s="12" t="inlineStr"/>
      <c r="E23" s="12" t="inlineStr">
        <is>
          <t>Taranto Biotech Days: il bilancio complessivo di questi tre giorni all’insegna della bioscienza</t>
        </is>
      </c>
      <c r="F23" s="12" t="inlineStr">
        <is>
          <t>Redazione</t>
        </is>
      </c>
      <c r="G23" s="13" t="inlineStr">
        <is>
          <t>https://www.studio100.it/2024/10/14/taranto-biotech-days-il-bilancio-complessivo-di-questi-tre-giorni-allinsegna-della-bioscienza/</t>
        </is>
      </c>
      <c r="H23" s="12" t="inlineStr">
        <is>
          <t>Taranto Biotech Days 2024 (bilancio)</t>
        </is>
      </c>
      <c r="I23" s="12" t="inlineStr">
        <is>
          <t>Servizio TV</t>
        </is>
      </c>
      <c r="J23" s="12" t="inlineStr">
        <is>
          <t>No</t>
        </is>
      </c>
      <c r="K23" s="12" t="inlineStr">
        <is>
          <t>No</t>
        </is>
      </c>
      <c r="L23" s="12" t="inlineStr">
        <is>
          <t>No</t>
        </is>
      </c>
      <c r="M23" s="12" t="inlineStr"/>
      <c r="N23" s="12" t="inlineStr">
        <is>
          <t>Neutro</t>
        </is>
      </c>
      <c r="O23" s="12" t="inlineStr">
        <is>
          <t>No</t>
        </is>
      </c>
      <c r="P23" s="12" t="inlineStr"/>
      <c r="Q23" s="12" t="inlineStr">
        <is>
          <t>Uso consigliato: pubblica, sezione storica (DA CONFERMARE): titolo neutro, inseribile nel gruppo 2024; Le interviste del servizio sono a persone fuori elenco: non nominarle. Assente da copertura.md, trovato il 7 ottobre 2026.; Verificata il 7 ottobre 2026</t>
        </is>
      </c>
    </row>
    <row r="24">
      <c r="A24" s="11" t="n">
        <v>45580</v>
      </c>
      <c r="B24" s="12" t="inlineStr">
        <is>
          <t>Studio 100</t>
        </is>
      </c>
      <c r="C24" s="12" t="inlineStr">
        <is>
          <t>TV</t>
        </is>
      </c>
      <c r="D24" s="12" t="inlineStr"/>
      <c r="E24" s="12" t="inlineStr">
        <is>
          <t>Biotech, seconda giornata alla Camera di Commercio. Dieci le start up presentate</t>
        </is>
      </c>
      <c r="F24" s="12" t="inlineStr">
        <is>
          <t>Redazione</t>
        </is>
      </c>
      <c r="G24" s="13" t="inlineStr">
        <is>
          <t>https://www.studio100.it/2024/10/15/biotech-seconda-giornata-alla-camera-di-commercio-dieci-le-start-up-presentate/</t>
        </is>
      </c>
      <c r="H24" s="12" t="inlineStr">
        <is>
          <t>BioShot 2024</t>
        </is>
      </c>
      <c r="I24" s="12" t="inlineStr">
        <is>
          <t>Servizio TV</t>
        </is>
      </c>
      <c r="J24" s="12" t="inlineStr">
        <is>
          <t>No</t>
        </is>
      </c>
      <c r="K24" s="12" t="inlineStr">
        <is>
          <t>No</t>
        </is>
      </c>
      <c r="L24" s="12" t="inlineStr">
        <is>
          <t>No</t>
        </is>
      </c>
      <c r="M24" s="12" t="inlineStr"/>
      <c r="N24" s="12" t="inlineStr">
        <is>
          <t>Neutro</t>
        </is>
      </c>
      <c r="O24" s="12" t="inlineStr">
        <is>
          <t>Sì</t>
        </is>
      </c>
      <c r="P24" s="12" t="inlineStr"/>
      <c r="Q24" s="12" t="inlineStr">
        <is>
          <t>Uso consigliato: pubblica, sezione storica; Il titolo dice dieci startup, A8 nove (vedi R6).; Verificata il 7 ottobre 2026</t>
        </is>
      </c>
    </row>
    <row r="25">
      <c r="A25" s="11" t="n">
        <v>45580</v>
      </c>
      <c r="B25" s="12" t="inlineStr">
        <is>
          <t>NoiCamera, blog della Camera di commercio di Brindisi Taranto</t>
        </is>
      </c>
      <c r="C25" s="12" t="inlineStr">
        <is>
          <t>istituzionale</t>
        </is>
      </c>
      <c r="D25" s="12" t="inlineStr"/>
      <c r="E25" s="12" t="inlineStr">
        <is>
          <t>In Camera di commercio, Taranto Biotech Days diventa BioShot</t>
        </is>
      </c>
      <c r="F25" s="12" t="inlineStr">
        <is>
          <t>PID Camera di commercio di Brindisi - Taranto</t>
        </is>
      </c>
      <c r="G25" s="13" t="inlineStr">
        <is>
          <t>https://www.noicamera.com/post/in-camera-di-commercio-taranto-biotech-days-diventa-bioshot</t>
        </is>
      </c>
      <c r="H25" s="12" t="inlineStr">
        <is>
          <t>BioShot 2024</t>
        </is>
      </c>
      <c r="I25" s="12" t="inlineStr">
        <is>
          <t>Articolo</t>
        </is>
      </c>
      <c r="J25" s="12" t="inlineStr">
        <is>
          <t>Sì</t>
        </is>
      </c>
      <c r="K25" s="12" t="inlineStr">
        <is>
          <t>No</t>
        </is>
      </c>
      <c r="L25" s="12" t="inlineStr">
        <is>
          <t>No</t>
        </is>
      </c>
      <c r="M25" s="12" t="inlineStr"/>
      <c r="N25" s="12" t="inlineStr">
        <is>
          <t>Neutro</t>
        </is>
      </c>
      <c r="O25" s="12" t="inlineStr">
        <is>
          <t>No</t>
        </is>
      </c>
      <c r="P25" s="12" t="inlineStr"/>
      <c r="Q25" s="12" t="inlineStr">
        <is>
          <t>Uso consigliato: interna; Elenca il Comune di Taranto e la stessa Camera tra gli organizzatori del 2024 (R9).; Verificata il 7 ottobre 2026</t>
        </is>
      </c>
    </row>
    <row r="26">
      <c r="A26" s="11" t="n">
        <v>45581</v>
      </c>
      <c r="B26" s="12" t="inlineStr">
        <is>
          <t>Buonasera24 (Taranto Buonasera)</t>
        </is>
      </c>
      <c r="C26" s="12" t="inlineStr">
        <is>
          <t>quotidiano</t>
        </is>
      </c>
      <c r="D26" s="12" t="inlineStr"/>
      <c r="E26" s="12" t="inlineStr">
        <is>
          <t>Centro di ricerca per la medicina cellulare, si punta alla fondazione pubblico-privato</t>
        </is>
      </c>
      <c r="F26" s="12" t="inlineStr">
        <is>
          <t>La Redazione</t>
        </is>
      </c>
      <c r="G26" s="13" t="inlineStr">
        <is>
          <t>https://www.buonasera24.it/news/cronaca/866838/centro-di-ricerca-per-la-medicina-cellulare-si-punta-alla-fondazione-pubblico-privato.html</t>
        </is>
      </c>
      <c r="H26" s="12" t="inlineStr">
        <is>
          <t>Taranto Biotech Days 2024 (bilancio)</t>
        </is>
      </c>
      <c r="I26" s="12" t="inlineStr">
        <is>
          <t>Articolo</t>
        </is>
      </c>
      <c r="J26" s="12" t="inlineStr">
        <is>
          <t>No</t>
        </is>
      </c>
      <c r="K26" s="12" t="inlineStr">
        <is>
          <t>No</t>
        </is>
      </c>
      <c r="L26" s="12" t="inlineStr">
        <is>
          <t>No</t>
        </is>
      </c>
      <c r="M26" s="12" t="inlineStr"/>
      <c r="N26" s="12" t="inlineStr">
        <is>
          <t>Neutro</t>
        </is>
      </c>
      <c r="O26" s="12" t="inlineStr">
        <is>
          <t>No</t>
        </is>
      </c>
      <c r="P26" s="12" t="inlineStr"/>
      <c r="Q26" s="12" t="inlineStr">
        <is>
          <t>Uso consigliato: interna; Il titolo prospetta una fondazione pubblico privata: potrebbe far pensare a un sostegno pubblico. Non usare in documenti pubblici.; Verificata il 7 ottobre 2026</t>
        </is>
      </c>
    </row>
    <row r="27">
      <c r="A27" s="11" t="n">
        <v>45661</v>
      </c>
      <c r="B27" s="12" t="inlineStr">
        <is>
          <t>Oltre il Fatto</t>
        </is>
      </c>
      <c r="C27" s="12" t="inlineStr">
        <is>
          <t>online</t>
        </is>
      </c>
      <c r="D27" s="12" t="inlineStr"/>
      <c r="E27" s="12" t="inlineStr">
        <is>
          <t>Taranto Biotech Days: punto della situazione con Guido Putignano</t>
        </is>
      </c>
      <c r="F27" s="12" t="inlineStr">
        <is>
          <t>Francesco Ruggieri</t>
        </is>
      </c>
      <c r="G27" s="13" t="inlineStr">
        <is>
          <t>https://www.oltreilfatto.it/2025/01/taranto-biotech-days-punto-della-situazione-con-guido-putignano/</t>
        </is>
      </c>
      <c r="H27" s="12" t="inlineStr">
        <is>
          <t>Intervista al Presidente (gennaio 2025)</t>
        </is>
      </c>
      <c r="I27" s="12" t="inlineStr">
        <is>
          <t>Articolo</t>
        </is>
      </c>
      <c r="J27" s="12" t="inlineStr">
        <is>
          <t>No</t>
        </is>
      </c>
      <c r="K27" s="12" t="inlineStr">
        <is>
          <t>No</t>
        </is>
      </c>
      <c r="L27" s="12" t="inlineStr">
        <is>
          <t>No</t>
        </is>
      </c>
      <c r="M27" s="12" t="inlineStr"/>
      <c r="N27" s="12" t="inlineStr">
        <is>
          <t>Neutro</t>
        </is>
      </c>
      <c r="O27" s="12" t="inlineStr">
        <is>
          <t>No</t>
        </is>
      </c>
      <c r="P27" s="12" t="inlineStr"/>
      <c r="Q27" s="12" t="inlineStr">
        <is>
          <t>Uso consigliato: interna; Tipo indicato: online (con video); Il video (4PPwXjxci7I) è su un canale YouTube a nome della stessa firma di A7 e C11 (oEmbed author_name), R12. Il testo riporta “oltre 1200” ragazzi (R5). Assente da copertura.md, trovato il 7 ottobre 2026.; Verificata il 7 ottobre 2026</t>
        </is>
      </c>
    </row>
    <row r="28">
      <c r="A28" s="11" t="n">
        <v>45769</v>
      </c>
      <c r="B28" s="12" t="inlineStr">
        <is>
          <t>Oltre il Fatto</t>
        </is>
      </c>
      <c r="C28" s="12" t="inlineStr">
        <is>
          <t>online</t>
        </is>
      </c>
      <c r="D28" s="12" t="inlineStr"/>
      <c r="E28" s="12" t="inlineStr">
        <is>
          <t>BioERGOtech nasce la fondazione per un centro di ricerca per terapie cellulari</t>
        </is>
      </c>
      <c r="F28" s="12" t="inlineStr">
        <is>
          <t>Redazione</t>
        </is>
      </c>
      <c r="G28" s="13" t="inlineStr">
        <is>
          <t>https://www.oltreilfatto.it/2025/04/bioergotech-nasce-la-fondazione-per-un-centro-di-ricerca-per-terapie-cellulari/</t>
        </is>
      </c>
      <c r="H28" s="12" t="inlineStr">
        <is>
          <t>Costituzione della Fondazione</t>
        </is>
      </c>
      <c r="I28" s="12" t="inlineStr">
        <is>
          <t>Articolo</t>
        </is>
      </c>
      <c r="J28" s="12" t="inlineStr">
        <is>
          <t>Sì</t>
        </is>
      </c>
      <c r="K28" s="12" t="inlineStr">
        <is>
          <t>No</t>
        </is>
      </c>
      <c r="L28" s="12" t="inlineStr">
        <is>
          <t>No</t>
        </is>
      </c>
      <c r="M28" s="12" t="inlineStr"/>
      <c r="N28" s="12" t="inlineStr">
        <is>
          <t>Neutro</t>
        </is>
      </c>
      <c r="O28" s="12" t="inlineStr">
        <is>
          <t>Sì</t>
        </is>
      </c>
      <c r="P28" s="12" t="inlineStr"/>
      <c r="Q28" s="12" t="inlineStr">
        <is>
          <t>Uso consigliato: pubblica (in alternativa a B2); Il testo contiene l’ipotesi di fondazione pubblico privata con il Comune (2024), “circa duemila studenti”, l’obiettivo di 5 milioni di euro: non riprendere (vedi R5, R9, R10).; Verificata il 7 ottobre 2026</t>
        </is>
      </c>
    </row>
    <row r="29">
      <c r="A29" s="11" t="n">
        <v>45769</v>
      </c>
      <c r="B29" s="12" t="inlineStr">
        <is>
          <t>Oraquadra</t>
        </is>
      </c>
      <c r="C29" s="12" t="inlineStr">
        <is>
          <t>online</t>
        </is>
      </c>
      <c r="D29" s="12" t="inlineStr"/>
      <c r="E29" s="12" t="inlineStr">
        <is>
          <t>BioERGOtech nasce la fondazione per un centro di ricerca per terapie cellulari</t>
        </is>
      </c>
      <c r="F29" s="12" t="inlineStr">
        <is>
          <t>Redazione Oraquadra</t>
        </is>
      </c>
      <c r="G29" s="13" t="inlineStr">
        <is>
          <t>https://oraquadra.info/2025/04/22/bioergotech-nasce-la-fondazione-per-un-centro-di-ricerca-per-terapie-cellulari/</t>
        </is>
      </c>
      <c r="H29" s="12" t="inlineStr">
        <is>
          <t>Costituzione della Fondazione</t>
        </is>
      </c>
      <c r="I29" s="12" t="inlineStr">
        <is>
          <t>Articolo</t>
        </is>
      </c>
      <c r="J29" s="12" t="inlineStr">
        <is>
          <t>Sì</t>
        </is>
      </c>
      <c r="K29" s="12" t="inlineStr">
        <is>
          <t>No</t>
        </is>
      </c>
      <c r="L29" s="12" t="inlineStr">
        <is>
          <t>No</t>
        </is>
      </c>
      <c r="M29" s="12" t="inlineStr"/>
      <c r="N29" s="12" t="inlineStr">
        <is>
          <t>Neutro</t>
        </is>
      </c>
      <c r="O29" s="12" t="inlineStr">
        <is>
          <t>Sì</t>
        </is>
      </c>
      <c r="P29" s="12" t="inlineStr"/>
      <c r="Q29" s="12" t="inlineStr">
        <is>
          <t>Uso consigliato: pubblica (in alternativa a B1); Come B1.; Verificata il 7 ottobre 2026</t>
        </is>
      </c>
    </row>
    <row r="30">
      <c r="A30" s="11" t="n">
        <v>45769</v>
      </c>
      <c r="B30" s="12" t="inlineStr">
        <is>
          <t>PugliaPress</t>
        </is>
      </c>
      <c r="C30" s="12" t="inlineStr">
        <is>
          <t>quotidiano</t>
        </is>
      </c>
      <c r="D30" s="12" t="inlineStr"/>
      <c r="E30" s="12" t="inlineStr">
        <is>
          <t>Taranto, nasce BioERGOtech: un centro per rivoluzionare la medicina</t>
        </is>
      </c>
      <c r="F30" s="12" t="inlineStr">
        <is>
          <t>Redazione Pugliapress</t>
        </is>
      </c>
      <c r="G30" s="13" t="inlineStr">
        <is>
          <t>https://www.pugliapress.org/2025/04/22/terapie-cellulari-puglia/</t>
        </is>
      </c>
      <c r="H30" s="12" t="inlineStr">
        <is>
          <t>Costituzione della Fondazione</t>
        </is>
      </c>
      <c r="I30" s="12" t="inlineStr">
        <is>
          <t>Articolo</t>
        </is>
      </c>
      <c r="J30" s="12" t="inlineStr">
        <is>
          <t>Sì</t>
        </is>
      </c>
      <c r="K30" s="12" t="inlineStr">
        <is>
          <t>No</t>
        </is>
      </c>
      <c r="L30" s="12" t="inlineStr">
        <is>
          <t>No</t>
        </is>
      </c>
      <c r="M30" s="12" t="inlineStr"/>
      <c r="N30" s="12" t="inlineStr">
        <is>
          <t>Neutro</t>
        </is>
      </c>
      <c r="O30" s="12" t="inlineStr">
        <is>
          <t>No</t>
        </is>
      </c>
      <c r="P30" s="12" t="inlineStr"/>
      <c r="Q30" s="12" t="inlineStr">
        <is>
          <t>Uso consigliato: interna; Titolo enfatico; obiettivi 2026 non verificati (R10).; Verificata il 7 ottobre 2026</t>
        </is>
      </c>
    </row>
    <row r="31">
      <c r="A31" s="11" t="n">
        <v>45769</v>
      </c>
      <c r="B31" s="12" t="inlineStr">
        <is>
          <t>TarantoToday</t>
        </is>
      </c>
      <c r="C31" s="12" t="inlineStr">
        <is>
          <t>online</t>
        </is>
      </c>
      <c r="D31" s="12" t="inlineStr"/>
      <c r="E31" s="12" t="inlineStr">
        <is>
          <t>Nasce BioERGOtech, la fondazione per un centro di ricerca sulle terapie cellulari che unisce scienza e innovazione</t>
        </is>
      </c>
      <c r="F31" s="12" t="inlineStr">
        <is>
          <t>Redazione</t>
        </is>
      </c>
      <c r="G31" s="13" t="inlineStr">
        <is>
          <t>https://www.tarantotoday.it/salute/taranto-bioergotech-terapie-cellulari-22-04-2025.html</t>
        </is>
      </c>
      <c r="H31" s="12" t="inlineStr">
        <is>
          <t>Costituzione della Fondazione</t>
        </is>
      </c>
      <c r="I31" s="12" t="inlineStr">
        <is>
          <t>Articolo</t>
        </is>
      </c>
      <c r="J31" s="12" t="inlineStr">
        <is>
          <t>Sì</t>
        </is>
      </c>
      <c r="K31" s="12" t="inlineStr">
        <is>
          <t>No</t>
        </is>
      </c>
      <c r="L31" s="12" t="inlineStr">
        <is>
          <t>No</t>
        </is>
      </c>
      <c r="M31" s="12" t="inlineStr"/>
      <c r="N31" s="12" t="inlineStr">
        <is>
          <t>Neutro</t>
        </is>
      </c>
      <c r="O31" s="12" t="inlineStr">
        <is>
          <t>Sì</t>
        </is>
      </c>
      <c r="P31" s="12" t="inlineStr"/>
      <c r="Q31" s="12" t="inlineStr">
        <is>
          <t>Uso consigliato: pubblica; Cita il dialogo del 2024 con l’amministrazione comunale e obiettivi 2026 non verificati: non riprendere (R9, R10).; Verificata il 7 ottobre 2026</t>
        </is>
      </c>
    </row>
    <row r="32">
      <c r="A32" s="11" t="n">
        <v>45944</v>
      </c>
      <c r="B32" s="12" t="inlineStr">
        <is>
          <t>Oltre il Fatto</t>
        </is>
      </c>
      <c r="C32" s="12" t="inlineStr">
        <is>
          <t>online</t>
        </is>
      </c>
      <c r="D32" s="12" t="inlineStr"/>
      <c r="E32" s="12" t="inlineStr">
        <is>
          <t>Dai “Taranto Biotech Days” del 2024 nasce la Fondazione bioERGOtech</t>
        </is>
      </c>
      <c r="F32" s="12" t="inlineStr">
        <is>
          <t>Redazione</t>
        </is>
      </c>
      <c r="G32" s="13" t="inlineStr">
        <is>
          <t>https://www.oltreilfatto.it/2025/10/dai-taranto-biotech-days-del-2024-nasce-la-fondazione-bioergotech/</t>
        </is>
      </c>
      <c r="H32" s="12" t="inlineStr">
        <is>
          <t>Presentazione a Montecitorio (annuncio)</t>
        </is>
      </c>
      <c r="I32" s="12" t="inlineStr">
        <is>
          <t>Articolo</t>
        </is>
      </c>
      <c r="J32" s="12" t="inlineStr">
        <is>
          <t>Sì</t>
        </is>
      </c>
      <c r="K32" s="12" t="inlineStr">
        <is>
          <t>No</t>
        </is>
      </c>
      <c r="L32" s="12" t="inlineStr">
        <is>
          <t>No</t>
        </is>
      </c>
      <c r="M32" s="12" t="inlineStr"/>
      <c r="N32" s="12" t="inlineStr">
        <is>
          <t>Neutro</t>
        </is>
      </c>
      <c r="O32" s="12" t="inlineStr">
        <is>
          <t>Sì</t>
        </is>
      </c>
      <c r="P32" s="12" t="inlineStr"/>
      <c r="Q32" s="12" t="inlineStr">
        <is>
          <t>Uso consigliato: pubblica; Contiene “1500 studenti e 50 ricercatori” (R5).; Verificata il 7 ottobre 2026</t>
        </is>
      </c>
    </row>
    <row r="33">
      <c r="A33" s="11" t="n">
        <v>45944</v>
      </c>
      <c r="B33" s="12" t="inlineStr">
        <is>
          <t>Buonasera24 (Taranto Buonasera)</t>
        </is>
      </c>
      <c r="C33" s="12" t="inlineStr">
        <is>
          <t>quotidiano</t>
        </is>
      </c>
      <c r="D33" s="12" t="inlineStr"/>
      <c r="E33" s="12" t="inlineStr">
        <is>
          <t>Nasce la Fondazione bioERGOtech: tra intelligenza artificiale e terapie cellulari. Le foto</t>
        </is>
      </c>
      <c r="F33" s="12" t="inlineStr">
        <is>
          <t>Giulia Inversi</t>
        </is>
      </c>
      <c r="G33" s="13" t="inlineStr">
        <is>
          <t>https://www.buonasera24.it/gallery/cronaca/905068/nasce-la-fondazione-bioergotech-tra-intelligenza-artificiale-e-terapie-cellulari-le-foto.html</t>
        </is>
      </c>
      <c r="H33" s="12" t="inlineStr">
        <is>
          <t>Presentazione a Montecitorio (annuncio)</t>
        </is>
      </c>
      <c r="I33" s="12" t="inlineStr">
        <is>
          <t>Articolo</t>
        </is>
      </c>
      <c r="J33" s="12" t="inlineStr">
        <is>
          <t>Sì</t>
        </is>
      </c>
      <c r="K33" s="12" t="inlineStr">
        <is>
          <t>No</t>
        </is>
      </c>
      <c r="L33" s="12" t="inlineStr">
        <is>
          <t>No</t>
        </is>
      </c>
      <c r="M33" s="12" t="inlineStr"/>
      <c r="N33" s="12" t="inlineStr">
        <is>
          <t>Neutro</t>
        </is>
      </c>
      <c r="O33" s="12" t="inlineStr">
        <is>
          <t>Sì</t>
        </is>
      </c>
      <c r="P33" s="12" t="inlineStr"/>
      <c r="Q33" s="12" t="inlineStr">
        <is>
          <t>Uso consigliato: pubblica; Formato galleria fotografica. Obiettivi quinquennali non verificati (R10).; Verificata il 7 ottobre 2026</t>
        </is>
      </c>
    </row>
    <row r="34">
      <c r="A34" s="11" t="n">
        <v>45944</v>
      </c>
      <c r="B34" s="12" t="inlineStr">
        <is>
          <t>Voce del Popolo Taranto</t>
        </is>
      </c>
      <c r="C34" s="12" t="inlineStr">
        <is>
          <t>online</t>
        </is>
      </c>
      <c r="D34" s="12" t="inlineStr"/>
      <c r="E34" s="12" t="inlineStr">
        <is>
          <t>Un centro di ricerca per terapie cellulari a Taranto: nasce la Fondazione bioERGOtech</t>
        </is>
      </c>
      <c r="F34" s="12" t="inlineStr"/>
      <c r="G34" s="13" t="inlineStr">
        <is>
          <t>https://www.vocedelpopolo.org/2025/10/14/centro-ricerca-terapie-cellulari-taranto/</t>
        </is>
      </c>
      <c r="H34" s="12" t="inlineStr">
        <is>
          <t>Presentazione a Montecitorio (comunicato)</t>
        </is>
      </c>
      <c r="I34" s="12" t="inlineStr">
        <is>
          <t>Articolo</t>
        </is>
      </c>
      <c r="J34" s="12" t="inlineStr">
        <is>
          <t>Sì</t>
        </is>
      </c>
      <c r="K34" s="12" t="inlineStr">
        <is>
          <t>No</t>
        </is>
      </c>
      <c r="L34" s="12" t="inlineStr">
        <is>
          <t>No</t>
        </is>
      </c>
      <c r="M34" s="12" t="inlineStr"/>
      <c r="N34" s="12" t="inlineStr">
        <is>
          <t>Neutro</t>
        </is>
      </c>
      <c r="O34" s="12" t="inlineStr">
        <is>
          <t>No</t>
        </is>
      </c>
      <c r="P34" s="12" t="inlineStr"/>
      <c r="Q34" s="12" t="inlineStr">
        <is>
          <t>Uso consigliato: interna (ripresa di C1); Cifre non verificate (R5). Assente da copertura.md, trovato il 7 ottobre 2026.; Verificata il 7 ottobre 2026</t>
        </is>
      </c>
    </row>
    <row r="35">
      <c r="A35" s="11" t="n">
        <v>45946</v>
      </c>
      <c r="B35" s="12" t="inlineStr">
        <is>
          <t>Noi Notizie</t>
        </is>
      </c>
      <c r="C35" s="12" t="inlineStr">
        <is>
          <t>online</t>
        </is>
      </c>
      <c r="D35" s="12" t="inlineStr"/>
      <c r="E35" s="12" t="inlineStr">
        <is>
          <t>Un centro di ricerca per terapie cellulari a Taranto</t>
        </is>
      </c>
      <c r="F35" s="12" t="inlineStr">
        <is>
          <t>Agostino Quero</t>
        </is>
      </c>
      <c r="G35" s="13" t="inlineStr">
        <is>
          <t>https://www.noinotizie.it/16-10-2025/un-centro-di-ricerca-per-terapie-cellulari-a-taranto/</t>
        </is>
      </c>
      <c r="H35" s="12" t="inlineStr">
        <is>
          <t>Presentazione a Montecitorio (comunicato)</t>
        </is>
      </c>
      <c r="I35" s="12" t="inlineStr">
        <is>
          <t>Articolo</t>
        </is>
      </c>
      <c r="J35" s="12" t="inlineStr">
        <is>
          <t>Sì</t>
        </is>
      </c>
      <c r="K35" s="12" t="inlineStr">
        <is>
          <t>No</t>
        </is>
      </c>
      <c r="L35" s="12" t="inlineStr">
        <is>
          <t>No</t>
        </is>
      </c>
      <c r="M35" s="12" t="inlineStr"/>
      <c r="N35" s="12" t="inlineStr">
        <is>
          <t>Neutro</t>
        </is>
      </c>
      <c r="O35" s="12" t="inlineStr">
        <is>
          <t>No</t>
        </is>
      </c>
      <c r="P35" s="12" t="inlineStr"/>
      <c r="Q35" s="12" t="inlineStr">
        <is>
          <t>Uso consigliato: interna; Pubblica un numero di cellulare personale come contatto stampa (non trascritto qui, R11) e un refuso (“evento del 19 ottobre”). Preferire C1.; Verificata il 7 ottobre 2026</t>
        </is>
      </c>
    </row>
    <row r="36">
      <c r="A36" s="11" t="n">
        <v>45956</v>
      </c>
      <c r="B36" s="12" t="inlineStr">
        <is>
          <t>Secolo d’Italia</t>
        </is>
      </c>
      <c r="C36" s="12" t="inlineStr">
        <is>
          <t>online</t>
        </is>
      </c>
      <c r="D36" s="12" t="inlineStr"/>
      <c r="E36" s="12" t="inlineStr">
        <is>
          <t>“Innovare per curare”: alla Camera la presentazione del progetto per formare “scienziati digitali” a Taranto</t>
        </is>
      </c>
      <c r="F36" s="12" t="inlineStr">
        <is>
          <t>Redazione</t>
        </is>
      </c>
      <c r="G36" s="13" t="inlineStr">
        <is>
          <t>https://www.secoloditalia.it/2025/10/innovare-per-curare-alla-camera-la-presentazione-del-progetto-per-formare-scienziati-digitali-a-taranto/</t>
        </is>
      </c>
      <c r="H36" s="12" t="inlineStr">
        <is>
          <t>Presentazione a Montecitorio (annuncio)</t>
        </is>
      </c>
      <c r="I36" s="12" t="inlineStr">
        <is>
          <t>Articolo</t>
        </is>
      </c>
      <c r="J36" s="12" t="inlineStr">
        <is>
          <t>Sì</t>
        </is>
      </c>
      <c r="K36" s="12" t="inlineStr">
        <is>
          <t>No</t>
        </is>
      </c>
      <c r="L36" s="12" t="inlineStr">
        <is>
          <t>No</t>
        </is>
      </c>
      <c r="M36" s="12" t="inlineStr"/>
      <c r="N36" s="12" t="inlineStr">
        <is>
          <t>Neutro</t>
        </is>
      </c>
      <c r="O36" s="12" t="inlineStr">
        <is>
          <t>Sì</t>
        </is>
      </c>
      <c r="P36" s="12" t="inlineStr"/>
      <c r="Q36" s="12" t="inlineStr">
        <is>
          <t>Uso consigliato: pubblica; Il footer presenta la testata come “quotidiano on line della destra italiana” (R14). Cifre non verificate (R5, R10).; Verificata il 7 ottobre 2026</t>
        </is>
      </c>
    </row>
    <row r="37">
      <c r="A37" s="11" t="n">
        <v>45957</v>
      </c>
      <c r="B37" s="12" t="inlineStr">
        <is>
          <t>Adnkronos (ripresa da Il Tempo)</t>
        </is>
      </c>
      <c r="C37" s="12" t="inlineStr">
        <is>
          <t>agenzia</t>
        </is>
      </c>
      <c r="D37" s="12" t="inlineStr"/>
      <c r="E37" s="12" t="inlineStr">
        <is>
          <t>Innovazione: alla Camera la presentazione della fondazione bioERGOtech</t>
        </is>
      </c>
      <c r="F37" s="12" t="inlineStr">
        <is>
          <t>Adnkronos (firma: Il Tempo)</t>
        </is>
      </c>
      <c r="G37" s="13" t="inlineStr">
        <is>
          <t>https://www.iltempo.it/adnkronos/2025/10/27/news/innovazione-alla-camera-la-presentazione-della-fondazione-bioergotech-44744138/</t>
        </is>
      </c>
      <c r="H37" s="12" t="inlineStr">
        <is>
          <t>Presentazione a Montecitorio (annuncio)</t>
        </is>
      </c>
      <c r="I37" s="12" t="inlineStr">
        <is>
          <t>Articolo</t>
        </is>
      </c>
      <c r="J37" s="12" t="inlineStr">
        <is>
          <t>Sì</t>
        </is>
      </c>
      <c r="K37" s="12" t="inlineStr">
        <is>
          <t>No</t>
        </is>
      </c>
      <c r="L37" s="12" t="inlineStr">
        <is>
          <t>No</t>
        </is>
      </c>
      <c r="M37" s="12" t="inlineStr"/>
      <c r="N37" s="12" t="inlineStr">
        <is>
          <t>Neutro</t>
        </is>
      </c>
      <c r="O37" s="12" t="inlineStr">
        <is>
          <t>Sì</t>
        </is>
      </c>
      <c r="P37" s="12" t="inlineStr"/>
      <c r="Q37" s="12" t="inlineStr">
        <is>
          <t>Uso consigliato: pubblica (voce principale del gruppo C); Unico lancio d’agenzia trovato. Nomina la Vice Presidente come cofondatrice e cifre non verificate (R5, R10).; Verificata il 7 ottobre 2026</t>
        </is>
      </c>
    </row>
    <row r="38">
      <c r="A38" s="11" t="n">
        <v>45957</v>
      </c>
      <c r="B38" s="12" t="inlineStr">
        <is>
          <t>L’Identità</t>
        </is>
      </c>
      <c r="C38" s="12" t="inlineStr">
        <is>
          <t>quotidiano</t>
        </is>
      </c>
      <c r="D38" s="12" t="inlineStr"/>
      <c r="E38" s="12" t="inlineStr">
        <is>
          <t>Ecco BioErgoTech: la ricerca medica riparte tra Ai e Mezzogiorno</t>
        </is>
      </c>
      <c r="F38" s="12" t="inlineStr">
        <is>
          <t>Pietro Pertosa</t>
        </is>
      </c>
      <c r="G38" s="13" t="inlineStr">
        <is>
          <t>https://www.lidentita.it/ecco-bioergotech-la-ricerca-medica-riparte-tra-ai-e-mezzogiorno/</t>
        </is>
      </c>
      <c r="H38" s="12" t="inlineStr">
        <is>
          <t>Presentazione a Montecitorio (annuncio)</t>
        </is>
      </c>
      <c r="I38" s="12" t="inlineStr">
        <is>
          <t>Articolo</t>
        </is>
      </c>
      <c r="J38" s="12" t="inlineStr">
        <is>
          <t>Sì</t>
        </is>
      </c>
      <c r="K38" s="12" t="inlineStr">
        <is>
          <t>No</t>
        </is>
      </c>
      <c r="L38" s="12" t="inlineStr">
        <is>
          <t>No</t>
        </is>
      </c>
      <c r="M38" s="12" t="inlineStr"/>
      <c r="N38" s="12" t="inlineStr">
        <is>
          <t>Neutro</t>
        </is>
      </c>
      <c r="O38" s="12" t="inlineStr">
        <is>
          <t>Sì</t>
        </is>
      </c>
      <c r="P38" s="12" t="inlineStr"/>
      <c r="Q38" s="12" t="inlineStr">
        <is>
          <t>Uso consigliato: pubblica; Cifre non verificate (R5).; Verificata il 7 ottobre 2026</t>
        </is>
      </c>
    </row>
    <row r="39">
      <c r="A39" s="11" t="n">
        <v>45957</v>
      </c>
      <c r="B39" s="12" t="inlineStr">
        <is>
          <t>CosmoPolis</t>
        </is>
      </c>
      <c r="C39" s="12" t="inlineStr">
        <is>
          <t>online</t>
        </is>
      </c>
      <c r="D39" s="12" t="inlineStr"/>
      <c r="E39" s="12" t="inlineStr">
        <is>
          <t>Taranto, nasce bioERGOtech per realizzare un centro di ricerca</t>
        </is>
      </c>
      <c r="F39" s="12" t="inlineStr">
        <is>
          <t>CP</t>
        </is>
      </c>
      <c r="G39" s="13" t="inlineStr">
        <is>
          <t>https://www.cosmopolis.media/primo-piano/taranto-nasce-bioergotech-per-realizzare-un-centro-di-ricerca/segreteria-di-redazione/</t>
        </is>
      </c>
      <c r="H39" s="12" t="inlineStr">
        <is>
          <t>Presentazione a Montecitorio (comunicato)</t>
        </is>
      </c>
      <c r="I39" s="12" t="inlineStr">
        <is>
          <t>Articolo</t>
        </is>
      </c>
      <c r="J39" s="12" t="inlineStr">
        <is>
          <t>Sì</t>
        </is>
      </c>
      <c r="K39" s="12" t="inlineStr">
        <is>
          <t>No</t>
        </is>
      </c>
      <c r="L39" s="12" t="inlineStr">
        <is>
          <t>No</t>
        </is>
      </c>
      <c r="M39" s="12" t="inlineStr"/>
      <c r="N39" s="12" t="inlineStr">
        <is>
          <t>Neutro</t>
        </is>
      </c>
      <c r="O39" s="12" t="inlineStr">
        <is>
          <t>Sì</t>
        </is>
      </c>
      <c r="P39" s="12" t="inlineStr"/>
      <c r="Q39" s="12" t="inlineStr">
        <is>
          <t>Uso consigliato: ripresa di C1, indicata nella scheda di C1; Cifre non verificate (R5).; Verificata il 7 ottobre 2026</t>
        </is>
      </c>
    </row>
    <row r="40">
      <c r="A40" s="11" t="n">
        <v>45958</v>
      </c>
      <c r="B40" s="12" t="inlineStr">
        <is>
          <t>Camera dei Deputati, comunicazione.camera.it (Archivio Prima pagina)</t>
        </is>
      </c>
      <c r="C40" s="12" t="inlineStr">
        <is>
          <t>istituzionale</t>
        </is>
      </c>
      <c r="D40" s="12" t="inlineStr"/>
      <c r="E40" s="12" t="inlineStr">
        <is>
          <t>Innovare per curare: clinica, ricerca e tecnologia in connessione</t>
        </is>
      </c>
      <c r="F40" s="12" t="inlineStr"/>
      <c r="G40" s="13" t="inlineStr">
        <is>
          <t>https://comunicazione.camera.it/archivio-prima-pagina/19-53713</t>
        </is>
      </c>
      <c r="H40" s="12" t="inlineStr">
        <is>
          <t>Convegno di presentazione a Montecitorio</t>
        </is>
      </c>
      <c r="I40" s="12" t="inlineStr">
        <is>
          <t>Articolo</t>
        </is>
      </c>
      <c r="J40" s="12" t="inlineStr">
        <is>
          <t>No</t>
        </is>
      </c>
      <c r="K40" s="12" t="inlineStr">
        <is>
          <t>No</t>
        </is>
      </c>
      <c r="L40" s="12" t="inlineStr">
        <is>
          <t>No</t>
        </is>
      </c>
      <c r="M40" s="12" t="inlineStr"/>
      <c r="N40" s="12" t="inlineStr">
        <is>
          <t>Neutro</t>
        </is>
      </c>
      <c r="O40" s="12" t="inlineStr">
        <is>
          <t>No</t>
        </is>
      </c>
      <c r="P40" s="12" t="inlineStr"/>
      <c r="Q40" s="12" t="inlineStr">
        <is>
          <t>Uso consigliato: interna; Conferma data, ora e sala del 29 ottobre 2025 (R8). Non indica patrocini: non dedurne alcuno.; Verificata il 7 ottobre 2026</t>
        </is>
      </c>
    </row>
    <row r="41">
      <c r="A41" s="11" t="n">
        <v>45959</v>
      </c>
      <c r="B41" s="12" t="inlineStr">
        <is>
          <t>Innlifes</t>
        </is>
      </c>
      <c r="C41" s="12" t="inlineStr">
        <is>
          <t>periodico</t>
        </is>
      </c>
      <c r="D41" s="12" t="inlineStr"/>
      <c r="E41" s="12" t="inlineStr">
        <is>
          <t>Guido Putignano (bioErgotech): l’ingegnere che sogna il sangue artificiale</t>
        </is>
      </c>
      <c r="F41" s="12" t="inlineStr">
        <is>
          <t>Anita Fiaschetti</t>
        </is>
      </c>
      <c r="G41" s="13" t="inlineStr">
        <is>
          <t>https://www.innlifes.com/biotech/guido-putignano-fondazione-bioergotech/</t>
        </is>
      </c>
      <c r="H41" s="12" t="inlineStr">
        <is>
          <t>Intervista al Presidente; presentazione a Montecitorio</t>
        </is>
      </c>
      <c r="I41" s="12" t="inlineStr">
        <is>
          <t>Articolo</t>
        </is>
      </c>
      <c r="J41" s="12" t="inlineStr">
        <is>
          <t>Sì</t>
        </is>
      </c>
      <c r="K41" s="12" t="inlineStr">
        <is>
          <t>No</t>
        </is>
      </c>
      <c r="L41" s="12" t="inlineStr">
        <is>
          <t>No</t>
        </is>
      </c>
      <c r="M41" s="12" t="inlineStr"/>
      <c r="N41" s="12" t="inlineStr">
        <is>
          <t>Neutro</t>
        </is>
      </c>
      <c r="O41" s="12" t="inlineStr">
        <is>
          <t>Sì</t>
        </is>
      </c>
      <c r="P41" s="12" t="inlineStr"/>
      <c r="Q41" s="12" t="inlineStr">
        <is>
          <t>Uso consigliato: pubblica; Unica intervista estesa al Presidente nel periodo. Obiettivi quinquennali non verificati (R10).; Verificata il 7 ottobre 2026</t>
        </is>
      </c>
    </row>
    <row r="42">
      <c r="A42" s="11" t="n">
        <v>45959</v>
      </c>
      <c r="B42" s="12" t="inlineStr">
        <is>
          <t>Adnkronos (ripresa da Civonline)</t>
        </is>
      </c>
      <c r="C42" s="12" t="inlineStr">
        <is>
          <t>agenzia</t>
        </is>
      </c>
      <c r="D42" s="12" t="inlineStr"/>
      <c r="E42" s="12" t="inlineStr">
        <is>
          <t>Innovazione: Frassinetti, 'tecnologia sia al servizio della persona, la scuola deve formare'</t>
        </is>
      </c>
      <c r="F42" s="12" t="inlineStr">
        <is>
          <t>Redazione</t>
        </is>
      </c>
      <c r="G42" s="13" t="inlineStr">
        <is>
          <t>https://www.civonline.it/italia-e-mondo/innovazione-frassinetti-tecnologia-sia-al-servizio-della-persona-la-scuola-deve-formare-mtd1e3zg</t>
        </is>
      </c>
      <c r="H42" s="12" t="inlineStr">
        <is>
          <t>Presentazione a Montecitorio (cronaca)</t>
        </is>
      </c>
      <c r="I42" s="12" t="inlineStr">
        <is>
          <t>Articolo</t>
        </is>
      </c>
      <c r="J42" s="12" t="inlineStr">
        <is>
          <t>Sì</t>
        </is>
      </c>
      <c r="K42" s="12" t="inlineStr">
        <is>
          <t>No</t>
        </is>
      </c>
      <c r="L42" s="12" t="inlineStr">
        <is>
          <t>No</t>
        </is>
      </c>
      <c r="M42" s="12" t="inlineStr"/>
      <c r="N42" s="12" t="inlineStr">
        <is>
          <t>Neutro</t>
        </is>
      </c>
      <c r="O42" s="12" t="inlineStr">
        <is>
          <t>No</t>
        </is>
      </c>
      <c r="P42" s="12" t="inlineStr"/>
      <c r="Q42" s="12" t="inlineStr">
        <is>
          <t>Uso consigliato: interna; Il titolo nomina un membro del Governo e il testo nomina relatori fuori elenco: non usare in documenti pubblici. Conferma esternamente la Sala della Regina (R8).; Verificata il 7 ottobre 2026</t>
        </is>
      </c>
    </row>
    <row r="43">
      <c r="A43" s="11" t="n">
        <v>45959</v>
      </c>
      <c r="B43" s="12" t="inlineStr">
        <is>
          <t>Studio 100</t>
        </is>
      </c>
      <c r="C43" s="12" t="inlineStr">
        <is>
          <t>TV</t>
        </is>
      </c>
      <c r="D43" s="12" t="inlineStr"/>
      <c r="E43" s="12" t="inlineStr">
        <is>
          <t>A Montecitorio la presentazione di bioERGOtech, il progetto che rilancia Taranto nella biomedicina</t>
        </is>
      </c>
      <c r="F43" s="12" t="inlineStr">
        <is>
          <t>Redazione</t>
        </is>
      </c>
      <c r="G43" s="13" t="inlineStr">
        <is>
          <t>https://www.studio100.it/2025/10/29/montecitorio-presentazione-bioergotech-taranto-biomedicina/</t>
        </is>
      </c>
      <c r="H43" s="12" t="inlineStr">
        <is>
          <t>Presentazione a Montecitorio (intervista TV al Presidente)</t>
        </is>
      </c>
      <c r="I43" s="12" t="inlineStr">
        <is>
          <t>Servizio TV</t>
        </is>
      </c>
      <c r="J43" s="12" t="inlineStr">
        <is>
          <t>Sì</t>
        </is>
      </c>
      <c r="K43" s="12" t="inlineStr">
        <is>
          <t>No</t>
        </is>
      </c>
      <c r="L43" s="12" t="inlineStr">
        <is>
          <t>No</t>
        </is>
      </c>
      <c r="M43" s="12" t="inlineStr"/>
      <c r="N43" s="12" t="inlineStr">
        <is>
          <t>Neutro</t>
        </is>
      </c>
      <c r="O43" s="12" t="inlineStr">
        <is>
          <t>Sì</t>
        </is>
      </c>
      <c r="P43" s="12" t="inlineStr"/>
      <c r="Q43" s="12" t="inlineStr">
        <is>
          <t>Uso consigliato: pubblica, dopo visione del video (DA CONFERMARE); La pagina annuncia la presentazione “oggi” e dice che il direttore ne ha parlato con il Presidente: è un’intervista pubblicata la mattina del 29 ottobre (10:39), non un servizio sulla giornata. Il testo contiene l’età e un giudizio sul Presidente (R10): non riprendere.; Verificata il 7 ottobre 2026</t>
        </is>
      </c>
    </row>
    <row r="44">
      <c r="A44" s="11" t="n">
        <v>45959</v>
      </c>
      <c r="B44" s="12" t="inlineStr">
        <is>
          <t>Camera dei Deputati, WebTV</t>
        </is>
      </c>
      <c r="C44" s="12" t="inlineStr">
        <is>
          <t>istituzionale</t>
        </is>
      </c>
      <c r="D44" s="12" t="inlineStr"/>
      <c r="E44" s="12" t="inlineStr">
        <is>
          <t>Innovare per curare: clinica, ricerca e tecnologia in connessione</t>
        </is>
      </c>
      <c r="F44" s="12" t="inlineStr"/>
      <c r="G44" s="13" t="inlineStr">
        <is>
          <t>https://webtv.camera.it/evento/29420</t>
        </is>
      </c>
      <c r="H44" s="12" t="inlineStr">
        <is>
          <t>Video integrale del convegno</t>
        </is>
      </c>
      <c r="I44" s="12" t="inlineStr">
        <is>
          <t>Articolo</t>
        </is>
      </c>
      <c r="J44" s="12" t="inlineStr">
        <is>
          <t>No</t>
        </is>
      </c>
      <c r="K44" s="12" t="inlineStr">
        <is>
          <t>No</t>
        </is>
      </c>
      <c r="L44" s="12" t="inlineStr">
        <is>
          <t>No</t>
        </is>
      </c>
      <c r="M44" s="12" t="inlineStr"/>
      <c r="N44" s="12" t="inlineStr">
        <is>
          <t>Neutro</t>
        </is>
      </c>
      <c r="O44" s="12" t="inlineStr">
        <is>
          <t>No</t>
        </is>
      </c>
      <c r="P44" s="12" t="inlineStr"/>
      <c r="Q44" s="12" t="inlineStr">
        <is>
          <t>Uso consigliato: interna; Fonte utile per l’archivio video.; Verificata il 7 ottobre 2026</t>
        </is>
      </c>
    </row>
    <row r="45">
      <c r="A45" s="11" t="n">
        <v>45961</v>
      </c>
      <c r="B45" s="12" t="inlineStr">
        <is>
          <t>Oltre il Fatto</t>
        </is>
      </c>
      <c r="C45" s="12" t="inlineStr">
        <is>
          <t>online</t>
        </is>
      </c>
      <c r="D45" s="12" t="inlineStr"/>
      <c r="E45" s="12" t="inlineStr">
        <is>
          <t>BioErgoTech: Innovare per curare</t>
        </is>
      </c>
      <c r="F45" s="12" t="inlineStr">
        <is>
          <t>Francesco Ruggieri</t>
        </is>
      </c>
      <c r="G45" s="13" t="inlineStr">
        <is>
          <t>https://www.oltreilfatto.it/2025/10/bioergotech-innovare-per-curare/</t>
        </is>
      </c>
      <c r="H45" s="12" t="inlineStr">
        <is>
          <t>Presentazione a Montecitorio (resoconto)</t>
        </is>
      </c>
      <c r="I45" s="12" t="inlineStr">
        <is>
          <t>Articolo</t>
        </is>
      </c>
      <c r="J45" s="12" t="inlineStr">
        <is>
          <t>Sì</t>
        </is>
      </c>
      <c r="K45" s="12" t="inlineStr">
        <is>
          <t>No</t>
        </is>
      </c>
      <c r="L45" s="12" t="inlineStr">
        <is>
          <t>No</t>
        </is>
      </c>
      <c r="M45" s="12" t="inlineStr"/>
      <c r="N45" s="12" t="inlineStr">
        <is>
          <t>Neutro</t>
        </is>
      </c>
      <c r="O45" s="12" t="inlineStr">
        <is>
          <t>Sì</t>
        </is>
      </c>
      <c r="P45" s="12" t="inlineStr"/>
      <c r="Q45" s="12" t="inlineStr">
        <is>
          <t>Uso consigliato: pubblica (titolo neutro); Il testo elenca presenze istituzionali (Comune, Camera di commercio, ASL, Regione, Governo) e imprese fuori elenco: non riprendere (R9, R13). Riprende l’apertura e ampie parti della nota della Fondazione pubblicata da C1. Indipendenza (R12): la firma è quella di una persona che A7 indica tra i giornalisti che hanno condotto i lavori della prima giornata dei Taranto Biotech Days 2024 e che Studio 100, l’11 dicembre 2025, presenta come “della Fondazione BioErgoTech” (D6). DA CONFERMARE se pubblicarla.; Verificata il 7 ottobre 2026</t>
        </is>
      </c>
    </row>
    <row r="46">
      <c r="A46" s="11" t="n">
        <v>45964</v>
      </c>
      <c r="B46" s="12" t="inlineStr">
        <is>
          <t>Pianeta Salute Online</t>
        </is>
      </c>
      <c r="C46" s="12" t="inlineStr">
        <is>
          <t>periodico</t>
        </is>
      </c>
      <c r="D46" s="12" t="inlineStr"/>
      <c r="E46" s="12" t="inlineStr">
        <is>
          <t>Fondazione BioErgoTech: nasce in Italia il nuovo polo che unisce biotecnologie e intelligenza artificiale per rivoluzionare la salute</t>
        </is>
      </c>
      <c r="F46" s="12" t="inlineStr">
        <is>
          <t>La Redazione di Pianeta Salute Online</t>
        </is>
      </c>
      <c r="G46" s="13" t="inlineStr">
        <is>
          <t>https://pianetasalute.online/fondazione-bioergotech-nasce-in-italia-il-nuovo-polo-che-unisce-biotecnologie-e-intelligenza-artificiale-per-rivoluzionare-la-salute/</t>
        </is>
      </c>
      <c r="H46" s="12" t="inlineStr">
        <is>
          <t>Presentazione a Montecitorio (approfondimento)</t>
        </is>
      </c>
      <c r="I46" s="12" t="inlineStr">
        <is>
          <t>Articolo</t>
        </is>
      </c>
      <c r="J46" s="12" t="inlineStr">
        <is>
          <t>Sì</t>
        </is>
      </c>
      <c r="K46" s="12" t="inlineStr">
        <is>
          <t>No</t>
        </is>
      </c>
      <c r="L46" s="12" t="inlineStr">
        <is>
          <t>No</t>
        </is>
      </c>
      <c r="M46" s="12" t="inlineStr"/>
      <c r="N46" s="12" t="inlineStr">
        <is>
          <t>Neutro</t>
        </is>
      </c>
      <c r="O46" s="12" t="inlineStr">
        <is>
          <t>No</t>
        </is>
      </c>
      <c r="P46" s="12" t="inlineStr"/>
      <c r="Q46" s="12" t="inlineStr">
        <is>
          <t>Uso consigliato: interna; Titolo enfatico; scrive “oltre 1.500 esperti” per i Taranto Biotech Days (R5).; Verificata il 7 ottobre 2026</t>
        </is>
      </c>
    </row>
    <row r="47">
      <c r="A47" s="11" t="n">
        <v>45964</v>
      </c>
      <c r="B47" s="12" t="inlineStr">
        <is>
          <t>Pianeta Salute TV (canale YouTube)</t>
        </is>
      </c>
      <c r="C47" s="12" t="inlineStr">
        <is>
          <t>TV</t>
        </is>
      </c>
      <c r="D47" s="12" t="inlineStr"/>
      <c r="E47" s="12" t="inlineStr">
        <is>
          <t>Biotecnologie intelligenti: come Taranto diventa polo europeo di innovazione medica</t>
        </is>
      </c>
      <c r="F47" s="12" t="inlineStr"/>
      <c r="G47" s="13" t="inlineStr">
        <is>
          <t>https://www.youtube.com/watch?v=xg3IeGTPRIE</t>
        </is>
      </c>
      <c r="H47" s="12" t="inlineStr">
        <is>
          <t>Presentazione a Montecitorio (servizio video)</t>
        </is>
      </c>
      <c r="I47" s="12" t="inlineStr">
        <is>
          <t>Servizio TV</t>
        </is>
      </c>
      <c r="J47" s="12" t="inlineStr">
        <is>
          <t>No</t>
        </is>
      </c>
      <c r="K47" s="12" t="inlineStr">
        <is>
          <t>No</t>
        </is>
      </c>
      <c r="L47" s="12" t="inlineStr">
        <is>
          <t>No</t>
        </is>
      </c>
      <c r="M47" s="12" t="inlineStr"/>
      <c r="N47" s="12" t="inlineStr">
        <is>
          <t>Neutro</t>
        </is>
      </c>
      <c r="O47" s="12" t="inlineStr">
        <is>
          <t>No</t>
        </is>
      </c>
      <c r="P47" s="12" t="inlineStr"/>
      <c r="Q47" s="12" t="inlineStr">
        <is>
          <t>Uso consigliato: interna, dopo visione del video (DA CONFERMARE); Verificata il 7 ottobre 2026</t>
        </is>
      </c>
    </row>
    <row r="48">
      <c r="A48" s="11" t="n">
        <v>46003</v>
      </c>
      <c r="B48" s="12" t="inlineStr">
        <is>
          <t>Voce del Popolo Taranto</t>
        </is>
      </c>
      <c r="C48" s="12" t="inlineStr">
        <is>
          <t>online</t>
        </is>
      </c>
      <c r="D48" s="12" t="inlineStr"/>
      <c r="E48" s="12" t="inlineStr">
        <is>
          <t>Taranto ospita l’evento “Cranio Tech: innovare per curare”</t>
        </is>
      </c>
      <c r="F48" s="12" t="inlineStr"/>
      <c r="G48" s="13" t="inlineStr">
        <is>
          <t>https://www.vocedelpopolo.org/2025/12/12/taranto-ospita-evento-cranio-tech-innovare-per-curare/</t>
        </is>
      </c>
      <c r="H48" s="12" t="inlineStr">
        <is>
          <t>Incontro di Taranto (annuncio)</t>
        </is>
      </c>
      <c r="I48" s="12" t="inlineStr">
        <is>
          <t>Articolo</t>
        </is>
      </c>
      <c r="J48" s="12" t="inlineStr">
        <is>
          <t>Sì</t>
        </is>
      </c>
      <c r="K48" s="12" t="inlineStr">
        <is>
          <t>No</t>
        </is>
      </c>
      <c r="L48" s="12" t="inlineStr">
        <is>
          <t>No</t>
        </is>
      </c>
      <c r="M48" s="12" t="inlineStr"/>
      <c r="N48" s="12" t="inlineStr">
        <is>
          <t>Neutro</t>
        </is>
      </c>
      <c r="O48" s="12" t="inlineStr">
        <is>
          <t>No</t>
        </is>
      </c>
      <c r="P48" s="12" t="inlineStr"/>
      <c r="Q48" s="12" t="inlineStr">
        <is>
          <t>Uso consigliato: interna; Titolo con nome di impresa fuori elenco. Data dell’incontro: venerdì 12 dicembre (contrasta con D4, D5: R7).; Verificata il 7 ottobre 2026</t>
        </is>
      </c>
    </row>
    <row r="49">
      <c r="A49" s="11" t="n">
        <v>46004</v>
      </c>
      <c r="B49" s="12" t="inlineStr">
        <is>
          <t>NoiCamera, blog della Camera di commercio di Brindisi Taranto</t>
        </is>
      </c>
      <c r="C49" s="12" t="inlineStr">
        <is>
          <t>istituzionale</t>
        </is>
      </c>
      <c r="D49" s="12" t="inlineStr"/>
      <c r="E49" s="12" t="inlineStr">
        <is>
          <t>Innovare per curare: a Taranto bioErgotech presenta i suoi progetti</t>
        </is>
      </c>
      <c r="F49" s="12" t="inlineStr">
        <is>
          <t>Francesca Sanesi</t>
        </is>
      </c>
      <c r="G49" s="13" t="inlineStr">
        <is>
          <t>https://www.noicamera.com/post/innovare-per-curare-a-taranto-bioergotech-presenta-i-suoi-progetti</t>
        </is>
      </c>
      <c r="H49" s="12" t="inlineStr">
        <is>
          <t>Incontro di Taranto (resoconto)</t>
        </is>
      </c>
      <c r="I49" s="12" t="inlineStr">
        <is>
          <t>Articolo</t>
        </is>
      </c>
      <c r="J49" s="12" t="inlineStr">
        <is>
          <t>Sì</t>
        </is>
      </c>
      <c r="K49" s="12" t="inlineStr">
        <is>
          <t>No</t>
        </is>
      </c>
      <c r="L49" s="12" t="inlineStr">
        <is>
          <t>No</t>
        </is>
      </c>
      <c r="M49" s="12" t="inlineStr"/>
      <c r="N49" s="12" t="inlineStr">
        <is>
          <t>Neutro</t>
        </is>
      </c>
      <c r="O49" s="12" t="inlineStr">
        <is>
          <t>No</t>
        </is>
      </c>
      <c r="P49" s="12" t="inlineStr"/>
      <c r="Q49" s="12" t="inlineStr">
        <is>
          <t>Uso consigliato: interna; Descrive la Camera di commercio come “partner della Fondazione e patrocinante dell’iniziativa” del dicembre 2025: non trasferire all’evento del 2026 (R9).; Verificata il 7 ottobre 2026</t>
        </is>
      </c>
    </row>
    <row r="50">
      <c r="A50" s="11" t="n">
        <v>46005</v>
      </c>
      <c r="B50" s="12" t="inlineStr">
        <is>
          <t>Telenorba (TgNorba)</t>
        </is>
      </c>
      <c r="C50" s="12" t="inlineStr">
        <is>
          <t>TV</t>
        </is>
      </c>
      <c r="D50" s="12" t="inlineStr"/>
      <c r="E50" s="12" t="inlineStr">
        <is>
          <t>Taranto, IA per diagnosi neurologiche precoci</t>
        </is>
      </c>
      <c r="F50" s="12" t="inlineStr">
        <is>
          <t>Alessandra Martellotti</t>
        </is>
      </c>
      <c r="G50" s="13" t="inlineStr">
        <is>
          <t>https://telenorba.it/2025/12/14/taranto-ia-per-diagnosi-neurologiche-precoci/</t>
        </is>
      </c>
      <c r="H50" s="12" t="inlineStr">
        <is>
          <t>Dispositivo diagnostico presentato a Taranto</t>
        </is>
      </c>
      <c r="I50" s="12" t="inlineStr">
        <is>
          <t>Servizio TV</t>
        </is>
      </c>
      <c r="J50" s="12" t="inlineStr">
        <is>
          <t>No</t>
        </is>
      </c>
      <c r="K50" s="12" t="inlineStr">
        <is>
          <t>No</t>
        </is>
      </c>
      <c r="L50" s="12" t="inlineStr">
        <is>
          <t>No</t>
        </is>
      </c>
      <c r="M50" s="12" t="inlineStr"/>
      <c r="N50" s="12" t="inlineStr">
        <is>
          <t>Neutro</t>
        </is>
      </c>
      <c r="O50" s="12" t="inlineStr">
        <is>
          <t>No</t>
        </is>
      </c>
      <c r="P50" s="12" t="inlineStr"/>
      <c r="Q50" s="12" t="inlineStr">
        <is>
          <t>Uso consigliato: interna; Utile solo se il video cita la Fondazione (DA CONFERMARE dopo visione).; Verificata il 7 ottobre 2026</t>
        </is>
      </c>
    </row>
    <row r="51">
      <c r="A51" s="11" t="n">
        <v>46007</v>
      </c>
      <c r="B51" s="12" t="inlineStr">
        <is>
          <t>Oltre il Fatto</t>
        </is>
      </c>
      <c r="C51" s="12" t="inlineStr">
        <is>
          <t>online</t>
        </is>
      </c>
      <c r="D51" s="12" t="inlineStr"/>
      <c r="E51" s="12" t="inlineStr">
        <is>
          <t>Da Roma a Taranto, “Cranio Tech”: Innovare per Curare”</t>
        </is>
      </c>
      <c r="F51" s="12" t="inlineStr">
        <is>
          <t>Francesco Ruggieri</t>
        </is>
      </c>
      <c r="G51" s="13" t="inlineStr">
        <is>
          <t>https://www.oltreilfatto.it/2025/12/da-roma-a-taranto-cranio-tech-innovare-per-curare/</t>
        </is>
      </c>
      <c r="H51" s="12" t="inlineStr">
        <is>
          <t>Incontro di Taranto (resoconto)</t>
        </is>
      </c>
      <c r="I51" s="12" t="inlineStr">
        <is>
          <t>Articolo</t>
        </is>
      </c>
      <c r="J51" s="12" t="inlineStr">
        <is>
          <t>Sì</t>
        </is>
      </c>
      <c r="K51" s="12" t="inlineStr">
        <is>
          <t>No</t>
        </is>
      </c>
      <c r="L51" s="12" t="inlineStr">
        <is>
          <t>No</t>
        </is>
      </c>
      <c r="M51" s="12" t="inlineStr"/>
      <c r="N51" s="12" t="inlineStr">
        <is>
          <t>Neutro</t>
        </is>
      </c>
      <c r="O51" s="12" t="inlineStr">
        <is>
          <t>No</t>
        </is>
      </c>
      <c r="P51" s="12" t="inlineStr"/>
      <c r="Q51" s="12" t="inlineStr">
        <is>
          <t>Uso consigliato: interna; Titolo con nome di impresa fuori elenco; testo con autorità locali, una classe di una scuola e un numero di prenotazione (non trascritto). Data dell’incontro: sabato 13 dicembre (R7).; Verificata il 7 ottobre 2026</t>
        </is>
      </c>
    </row>
    <row r="52">
      <c r="A52" s="11" t="n">
        <v>46007</v>
      </c>
      <c r="B52" s="12" t="inlineStr">
        <is>
          <t>Giornale di Puglia</t>
        </is>
      </c>
      <c r="C52" s="12" t="inlineStr">
        <is>
          <t>online</t>
        </is>
      </c>
      <c r="D52" s="12" t="inlineStr"/>
      <c r="E52" s="12" t="inlineStr">
        <is>
          <t>Da Roma a Taranto, 'Cranio Tech': innovare per curare</t>
        </is>
      </c>
      <c r="F52" s="12" t="inlineStr">
        <is>
          <t>Redazione</t>
        </is>
      </c>
      <c r="G52" s="13" t="inlineStr">
        <is>
          <t>https://www.giornaledipuglia.com/2025/12/da-roma-taranto-cranio-tech-innovare.html</t>
        </is>
      </c>
      <c r="H52" s="12" t="inlineStr">
        <is>
          <t>Incontro di Taranto (resoconto)</t>
        </is>
      </c>
      <c r="I52" s="12" t="inlineStr">
        <is>
          <t>Articolo</t>
        </is>
      </c>
      <c r="J52" s="12" t="inlineStr">
        <is>
          <t>Sì</t>
        </is>
      </c>
      <c r="K52" s="12" t="inlineStr">
        <is>
          <t>No</t>
        </is>
      </c>
      <c r="L52" s="12" t="inlineStr">
        <is>
          <t>No</t>
        </is>
      </c>
      <c r="M52" s="12" t="inlineStr"/>
      <c r="N52" s="12" t="inlineStr">
        <is>
          <t>Neutro</t>
        </is>
      </c>
      <c r="O52" s="12" t="inlineStr">
        <is>
          <t>No</t>
        </is>
      </c>
      <c r="P52" s="12" t="inlineStr"/>
      <c r="Q52" s="12" t="inlineStr">
        <is>
          <t>Uso consigliato: interna; Come D4.; Verificata il 7 ottobre 2026</t>
        </is>
      </c>
    </row>
    <row r="53">
      <c r="A53" s="11" t="n">
        <v>46027</v>
      </c>
      <c r="B53" s="12" t="inlineStr">
        <is>
          <t>Studio 100</t>
        </is>
      </c>
      <c r="C53" s="12" t="inlineStr">
        <is>
          <t>TV</t>
        </is>
      </c>
      <c r="D53" s="12" t="inlineStr"/>
      <c r="E53" s="12" t="inlineStr">
        <is>
          <t>A 23 anni progetta il futuro della medicina: Guido Putignano, da Taranto ai grandi centri della ricerca mondiale</t>
        </is>
      </c>
      <c r="F53" s="12" t="inlineStr">
        <is>
          <t>Redazione</t>
        </is>
      </c>
      <c r="G53" s="13" t="inlineStr">
        <is>
          <t>https://www.studio100.it/2026/01/05/progetta-futuro-medicina-guido-putignano-taranto-ai-grandi-centri-ricerca-mondiale/</t>
        </is>
      </c>
      <c r="H53" s="12" t="inlineStr">
        <is>
          <t>Intervista al Presidente (gennaio 2026)</t>
        </is>
      </c>
      <c r="I53" s="12" t="inlineStr">
        <is>
          <t>Servizio TV</t>
        </is>
      </c>
      <c r="J53" s="12" t="inlineStr">
        <is>
          <t>Sì</t>
        </is>
      </c>
      <c r="K53" s="12" t="inlineStr">
        <is>
          <t>No</t>
        </is>
      </c>
      <c r="L53" s="12" t="inlineStr">
        <is>
          <t>No</t>
        </is>
      </c>
      <c r="M53" s="12" t="inlineStr"/>
      <c r="N53" s="12" t="inlineStr">
        <is>
          <t>Neutro</t>
        </is>
      </c>
      <c r="O53" s="12" t="inlineStr">
        <is>
          <t>No</t>
        </is>
      </c>
      <c r="P53" s="12" t="inlineStr"/>
      <c r="Q53" s="12" t="inlineStr">
        <is>
          <t>Uso consigliato: interna; Titolo con l’età (non verificata, R10) ed enfatico. Assente da copertura.md, trovato il 7 ottobre 2026.; Verificata il 7 ottobre 2026</t>
        </is>
      </c>
    </row>
    <row r="54">
      <c r="A54" s="11" t="n">
        <v>46268</v>
      </c>
      <c r="B54" s="12" t="inlineStr">
        <is>
          <t>Studio 100</t>
        </is>
      </c>
      <c r="C54" s="12" t="inlineStr">
        <is>
          <t>TV</t>
        </is>
      </c>
      <c r="D54" s="12" t="inlineStr"/>
      <c r="E54" s="12" t="inlineStr">
        <is>
          <t>Giochi del Mediterraneo, un modello per un futuro di ricerca e innovazione</t>
        </is>
      </c>
      <c r="F54" s="12" t="inlineStr">
        <is>
          <t>Redazione</t>
        </is>
      </c>
      <c r="G54" s="13" t="inlineStr">
        <is>
          <t>https://www.studio100.it/2026/09/03/giochi-del-mediterraneo-un-modello-per-un-futuro-di-ricerca-e-innovazione/</t>
        </is>
      </c>
      <c r="H54" s="12" t="inlineStr">
        <is>
          <t>Talk di SafesPro e della Fondazione al Fan Village</t>
        </is>
      </c>
      <c r="I54" s="12" t="inlineStr">
        <is>
          <t>Servizio TV</t>
        </is>
      </c>
      <c r="J54" s="12" t="inlineStr">
        <is>
          <t>Sì</t>
        </is>
      </c>
      <c r="K54" s="12" t="inlineStr">
        <is>
          <t>No</t>
        </is>
      </c>
      <c r="L54" s="12" t="inlineStr">
        <is>
          <t>No</t>
        </is>
      </c>
      <c r="M54" s="12" t="inlineStr"/>
      <c r="N54" s="12" t="inlineStr">
        <is>
          <t>Neutro</t>
        </is>
      </c>
      <c r="O54" s="12" t="inlineStr">
        <is>
          <t>No</t>
        </is>
      </c>
      <c r="P54" s="12" t="inlineStr"/>
      <c r="Q54" s="12" t="inlineStr">
        <is>
          <t>Uso consigliato: interna, dopo visione del video (DA CONFERMARE); Visionare il video prima di confermare che nessuna uscita parla di “Vivere più a lungo”. Assente da copertura.md, trovato il 7 ottobre 2026.; Verificata il 7 ottobre 2026</t>
        </is>
      </c>
    </row>
    <row r="55">
      <c r="A55" s="11" t="n">
        <v>46287</v>
      </c>
      <c r="B55" s="12" t="inlineStr">
        <is>
          <t>Buonasera24 (Taranto Buonasera)</t>
        </is>
      </c>
      <c r="C55" s="12" t="inlineStr">
        <is>
          <t>quotidiano</t>
        </is>
      </c>
      <c r="D55" s="12" t="inlineStr"/>
      <c r="E55" s="12" t="inlineStr">
        <is>
          <t>Biotecnologie e intelligenza artificiale, nasce a Taranto una rete tra 11 scuole</t>
        </is>
      </c>
      <c r="F55" s="12" t="inlineStr">
        <is>
          <t>Francesco Alberti</t>
        </is>
      </c>
      <c r="G55" s="13" t="inlineStr">
        <is>
          <t>https://www.buonasera24.it/news/cronaca/929357/biotecnologie-e-intelligenza-artificiale-nasce-a-taranto-una-rete-tra-11-scuole.html</t>
        </is>
      </c>
      <c r="H55" s="12" t="inlineStr">
        <is>
          <t>Percorso scuole “Biotecnologie e Intelligenza Artificiale”</t>
        </is>
      </c>
      <c r="I55" s="12" t="inlineStr">
        <is>
          <t>Articolo</t>
        </is>
      </c>
      <c r="J55" s="12" t="inlineStr">
        <is>
          <t>Sì</t>
        </is>
      </c>
      <c r="K55" s="12" t="inlineStr">
        <is>
          <t>No</t>
        </is>
      </c>
      <c r="L55" s="12" t="inlineStr">
        <is>
          <t>No</t>
        </is>
      </c>
      <c r="M55" s="12" t="inlineStr"/>
      <c r="N55" s="12" t="inlineStr">
        <is>
          <t>Neutro</t>
        </is>
      </c>
      <c r="O55" s="12" t="inlineStr">
        <is>
          <t>No</t>
        </is>
      </c>
      <c r="P55" s="12" t="inlineStr"/>
      <c r="Q55" s="12" t="inlineStr">
        <is>
          <t>Uso consigliato: interna (DA CONFERMARE); Articolo già noto. Il testo annuncia il viaggio a New York, indica l’11 dicembre come giornata conclusiva, “fino a 500” studenti e nomina scuole e dirigente: non allegare né linkare nel press kit (R1 a R4).; Verificata il 7 ottobre 2026</t>
        </is>
      </c>
    </row>
    <row r="56">
      <c r="A56" s="11" t="n">
        <v>46287</v>
      </c>
      <c r="B56" s="12" t="inlineStr">
        <is>
          <t>Blunote (Canale 85)</t>
        </is>
      </c>
      <c r="C56" s="12" t="inlineStr">
        <is>
          <t>online</t>
        </is>
      </c>
      <c r="D56" s="12" t="inlineStr"/>
      <c r="E56" s="12" t="inlineStr">
        <is>
          <t>Biotecnologie e Intelligenza Artificiale, nasce a Taranto la rete delle scuole</t>
        </is>
      </c>
      <c r="F56" s="12" t="inlineStr"/>
      <c r="G56" s="13" t="inlineStr">
        <is>
          <t>https://www.blunote.it/news/427004694022/biotecnologie-e-intelligenza-artificiale-nasce-a-taranto-la-rete-delle-scuole</t>
        </is>
      </c>
      <c r="H56" s="12" t="inlineStr">
        <is>
          <t>Percorso scuole “Biotecnologie e Intelligenza Artificiale”</t>
        </is>
      </c>
      <c r="I56" s="12" t="inlineStr">
        <is>
          <t>Articolo</t>
        </is>
      </c>
      <c r="J56" s="12" t="inlineStr">
        <is>
          <t>Sì</t>
        </is>
      </c>
      <c r="K56" s="12" t="inlineStr">
        <is>
          <t>No</t>
        </is>
      </c>
      <c r="L56" s="12" t="inlineStr">
        <is>
          <t>No</t>
        </is>
      </c>
      <c r="M56" s="12" t="inlineStr"/>
      <c r="N56" s="12" t="inlineStr">
        <is>
          <t>Neutro</t>
        </is>
      </c>
      <c r="O56" s="12" t="inlineStr">
        <is>
          <t>No</t>
        </is>
      </c>
      <c r="P56" s="12" t="inlineStr"/>
      <c r="Q56" s="12" t="inlineStr">
        <is>
          <t>Uso consigliato: interna (DA CONFERMARE); Ha un sottotitolo interno sul viaggio a New York: stessi limiti di E2.; Verificata il 7 ottobre 2026</t>
        </is>
      </c>
    </row>
    <row r="57">
      <c r="A57" s="11" t="n">
        <v>46289</v>
      </c>
      <c r="B57" s="12" t="inlineStr">
        <is>
          <t>TRNews (TeleRama)</t>
        </is>
      </c>
      <c r="C57" s="12" t="inlineStr">
        <is>
          <t>TV</t>
        </is>
      </c>
      <c r="D57" s="12" t="inlineStr"/>
      <c r="E57" s="12" t="inlineStr">
        <is>
          <t>Taranto, biotecnologie e intelligenza artificiale: le nuove frontiere della scuola</t>
        </is>
      </c>
      <c r="F57" s="12" t="inlineStr">
        <is>
          <t>Nicla Pastore (firma mostrata con “Redazione”)</t>
        </is>
      </c>
      <c r="G57" s="13" t="inlineStr">
        <is>
          <t>https://trnews.it/2026/09/24/taranto-biotecnologie-e-intelligenza-artificiale-le-nuove-frontiere-della-scuola</t>
        </is>
      </c>
      <c r="H57" s="12" t="inlineStr">
        <is>
          <t>Percorso scuole “Biotecnologie e Intelligenza Artificiale”</t>
        </is>
      </c>
      <c r="I57" s="12" t="inlineStr">
        <is>
          <t>Servizio TV</t>
        </is>
      </c>
      <c r="J57" s="12" t="inlineStr">
        <is>
          <t>No</t>
        </is>
      </c>
      <c r="K57" s="12" t="inlineStr">
        <is>
          <t>No</t>
        </is>
      </c>
      <c r="L57" s="12" t="inlineStr">
        <is>
          <t>No</t>
        </is>
      </c>
      <c r="M57" s="12" t="inlineStr"/>
      <c r="N57" s="12" t="inlineStr">
        <is>
          <t>Neutro</t>
        </is>
      </c>
      <c r="O57" s="12" t="inlineStr">
        <is>
          <t>No</t>
        </is>
      </c>
      <c r="P57" s="12" t="inlineStr"/>
      <c r="Q57" s="12" t="inlineStr">
        <is>
          <t>Uso consigliato: interna, dopo visione del video (DA CONFERMARE); Unico servizio TV sul percorso scuole trovato.; Verificata il 7 ottobre 2026</t>
        </is>
      </c>
    </row>
    <row r="58">
      <c r="A58" s="10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>
      <c r="A59" s="10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</row>
    <row r="60">
      <c r="A60" s="10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>
      <c r="A61" s="10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</row>
    <row r="62">
      <c r="A62" s="10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>
      <c r="A63" s="10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</row>
    <row r="64">
      <c r="A64" s="10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>
      <c r="A65" s="10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</row>
    <row r="66">
      <c r="A66" s="10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>
      <c r="A67" s="10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</row>
    <row r="68">
      <c r="A68" s="10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>
      <c r="A69" s="10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</row>
    <row r="70">
      <c r="A70" s="10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>
      <c r="A71" s="10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</row>
    <row r="72">
      <c r="A72" s="10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>
      <c r="A73" s="10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</row>
    <row r="74">
      <c r="A74" s="10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>
      <c r="A75" s="10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</row>
    <row r="76">
      <c r="A76" s="10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>
      <c r="A77" s="10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</row>
    <row r="78">
      <c r="A78" s="10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>
      <c r="A79" s="10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</row>
    <row r="80">
      <c r="A80" s="10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>
      <c r="A81" s="10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</row>
    <row r="82">
      <c r="A82" s="10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>
      <c r="A83" s="10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</row>
    <row r="84">
      <c r="A84" s="10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>
      <c r="A85" s="10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</row>
    <row r="86">
      <c r="A86" s="10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>
      <c r="A87" s="10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</row>
    <row r="88">
      <c r="A88" s="10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>
      <c r="A89" s="10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</row>
    <row r="90">
      <c r="A90" s="10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>
      <c r="A91" s="10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</row>
    <row r="92">
      <c r="A92" s="10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>
      <c r="A93" s="10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</row>
    <row r="94">
      <c r="A94" s="10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>
      <c r="A95" s="10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</row>
    <row r="96">
      <c r="A96" s="10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>
      <c r="A97" s="10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</row>
    <row r="98">
      <c r="A98" s="10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>
      <c r="A99" s="10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</row>
    <row r="100">
      <c r="A100" s="10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>
      <c r="A101" s="10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</row>
    <row r="102">
      <c r="A102" s="10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>
      <c r="A103" s="10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</row>
    <row r="104">
      <c r="A104" s="10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>
      <c r="A105" s="10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</row>
    <row r="106">
      <c r="A106" s="10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>
      <c r="A107" s="10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</row>
    <row r="108">
      <c r="A108" s="10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>
      <c r="A109" s="10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</row>
    <row r="110">
      <c r="A110" s="10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>
      <c r="A111" s="10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</row>
    <row r="112">
      <c r="A112" s="10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>
      <c r="A113" s="10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</row>
    <row r="114">
      <c r="A114" s="10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>
      <c r="A115" s="10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</row>
    <row r="116">
      <c r="A116" s="10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>
      <c r="A117" s="10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>
      <c r="A118" s="10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>
      <c r="A119" s="10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>
      <c r="A120" s="10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>
      <c r="A121" s="10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>
      <c r="A122" s="10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>
      <c r="A123" s="10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>
      <c r="A124" s="10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>
      <c r="A125" s="10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>
      <c r="A126" s="10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>
      <c r="A127" s="10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</row>
    <row r="128">
      <c r="A128" s="10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>
      <c r="A129" s="10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</row>
    <row r="130">
      <c r="A130" s="10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>
      <c r="A131" s="10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</row>
    <row r="132">
      <c r="A132" s="10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>
      <c r="A133" s="10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</row>
    <row r="134">
      <c r="A134" s="10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>
      <c r="A135" s="10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</row>
    <row r="136">
      <c r="A136" s="10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>
      <c r="A137" s="10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</row>
    <row r="138">
      <c r="A138" s="10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>
      <c r="A139" s="10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</row>
    <row r="140">
      <c r="A140" s="10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>
      <c r="A141" s="10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</row>
    <row r="142">
      <c r="A142" s="10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>
      <c r="A143" s="10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</row>
    <row r="144">
      <c r="A144" s="10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>
      <c r="A145" s="10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</row>
    <row r="146">
      <c r="A146" s="10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>
      <c r="A147" s="10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</row>
    <row r="148">
      <c r="A148" s="10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>
      <c r="A149" s="10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</row>
    <row r="150">
      <c r="A150" s="10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>
      <c r="A151" s="10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</row>
    <row r="152">
      <c r="A152" s="10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>
      <c r="A153" s="10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</row>
    <row r="154">
      <c r="A154" s="10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>
      <c r="A155" s="10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</row>
    <row r="156">
      <c r="A156" s="10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>
      <c r="A157" s="10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</row>
    <row r="158">
      <c r="A158" s="10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>
      <c r="A159" s="10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</row>
    <row r="160">
      <c r="A160" s="10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>
      <c r="A161" s="10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</row>
    <row r="162">
      <c r="A162" s="10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>
      <c r="A163" s="10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</row>
    <row r="164">
      <c r="A164" s="10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>
      <c r="A165" s="10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</row>
    <row r="166">
      <c r="A166" s="10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>
      <c r="A167" s="10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</row>
    <row r="168">
      <c r="A168" s="10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>
      <c r="A169" s="10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</row>
    <row r="170">
      <c r="A170" s="10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>
      <c r="A171" s="10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</row>
    <row r="172">
      <c r="A172" s="10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>
      <c r="A173" s="10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</row>
    <row r="174">
      <c r="A174" s="10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>
      <c r="A175" s="10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</row>
    <row r="176">
      <c r="A176" s="10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>
      <c r="A177" s="10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</row>
    <row r="178">
      <c r="A178" s="10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>
      <c r="A179" s="10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</row>
    <row r="180">
      <c r="A180" s="10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>
      <c r="A181" s="10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</row>
    <row r="182">
      <c r="A182" s="10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>
      <c r="A183" s="10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</row>
    <row r="184">
      <c r="A184" s="10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>
      <c r="A185" s="10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</row>
    <row r="186">
      <c r="A186" s="10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>
      <c r="A187" s="10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</row>
    <row r="188">
      <c r="A188" s="10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>
      <c r="A189" s="10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</row>
    <row r="190">
      <c r="A190" s="10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>
      <c r="A191" s="10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</row>
    <row r="192">
      <c r="A192" s="10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>
      <c r="A193" s="10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</row>
    <row r="194">
      <c r="A194" s="10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>
      <c r="A195" s="10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</row>
    <row r="196">
      <c r="A196" s="10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>
      <c r="A197" s="10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</row>
    <row r="198">
      <c r="A198" s="10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>
      <c r="A199" s="10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</row>
    <row r="200">
      <c r="A200" s="10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>
      <c r="A201" s="10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</row>
    <row r="202">
      <c r="A202" s="10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>
      <c r="A203" s="10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</row>
    <row r="204">
      <c r="A204" s="10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>
      <c r="A205" s="10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</row>
    <row r="206">
      <c r="A206" s="10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>
      <c r="A207" s="10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</row>
    <row r="208">
      <c r="A208" s="10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>
      <c r="A209" s="10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</row>
    <row r="210">
      <c r="A210" s="10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>
      <c r="A211" s="10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</row>
    <row r="212">
      <c r="A212" s="10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>
      <c r="A213" s="10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</row>
    <row r="214">
      <c r="A214" s="10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>
      <c r="A215" s="10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</row>
    <row r="216">
      <c r="A216" s="10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>
      <c r="A217" s="10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</row>
    <row r="218">
      <c r="A218" s="10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>
      <c r="A219" s="10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</row>
    <row r="220">
      <c r="A220" s="10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>
      <c r="A221" s="10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</row>
    <row r="222">
      <c r="A222" s="10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>
      <c r="A223" s="10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</row>
    <row r="224">
      <c r="A224" s="10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>
      <c r="A225" s="10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</row>
    <row r="226">
      <c r="A226" s="10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>
      <c r="A227" s="10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</row>
    <row r="228">
      <c r="A228" s="10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>
      <c r="A229" s="10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</row>
    <row r="230">
      <c r="A230" s="10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>
      <c r="A231" s="10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</row>
    <row r="232">
      <c r="A232" s="10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>
      <c r="A233" s="10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</row>
    <row r="234">
      <c r="A234" s="10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>
      <c r="A235" s="10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</row>
    <row r="236">
      <c r="A236" s="10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>
      <c r="A237" s="10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</row>
    <row r="238">
      <c r="A238" s="10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>
      <c r="A239" s="10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</row>
    <row r="240">
      <c r="A240" s="10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>
      <c r="A241" s="10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</row>
    <row r="242">
      <c r="A242" s="10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>
      <c r="A243" s="10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</row>
    <row r="244">
      <c r="A244" s="10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>
      <c r="A245" s="10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</row>
    <row r="246">
      <c r="A246" s="10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>
      <c r="A247" s="10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</row>
    <row r="248">
      <c r="A248" s="10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>
      <c r="A249" s="10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</row>
    <row r="250">
      <c r="A250" s="10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>
      <c r="A251" s="10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</row>
    <row r="252">
      <c r="A252" s="10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>
      <c r="A253" s="10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</row>
    <row r="254">
      <c r="A254" s="10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>
      <c r="A255" s="10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</row>
    <row r="256">
      <c r="A256" s="10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>
      <c r="A257" s="10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</row>
    <row r="258">
      <c r="A258" s="10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>
      <c r="A259" s="10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</row>
    <row r="260">
      <c r="A260" s="10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>
      <c r="A261" s="10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</row>
    <row r="262">
      <c r="A262" s="10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>
      <c r="A263" s="10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</row>
    <row r="264">
      <c r="A264" s="10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>
      <c r="A265" s="10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</row>
    <row r="266">
      <c r="A266" s="10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>
      <c r="A267" s="10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</row>
    <row r="268">
      <c r="A268" s="10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>
      <c r="A269" s="10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</row>
    <row r="270">
      <c r="A270" s="10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>
      <c r="A271" s="10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</row>
    <row r="272">
      <c r="A272" s="10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>
      <c r="A273" s="10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</row>
    <row r="274">
      <c r="A274" s="10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>
      <c r="A275" s="10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</row>
    <row r="276">
      <c r="A276" s="10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>
      <c r="A277" s="10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</row>
    <row r="278">
      <c r="A278" s="10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>
      <c r="A279" s="10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</row>
    <row r="280">
      <c r="A280" s="10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>
      <c r="A281" s="10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</row>
    <row r="282">
      <c r="A282" s="10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>
      <c r="A283" s="10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</row>
    <row r="284">
      <c r="A284" s="10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>
      <c r="A285" s="10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</row>
    <row r="286">
      <c r="A286" s="10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>
      <c r="A287" s="10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</row>
    <row r="288">
      <c r="A288" s="10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>
      <c r="A289" s="10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</row>
    <row r="290">
      <c r="A290" s="10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>
      <c r="A291" s="10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</row>
    <row r="292">
      <c r="A292" s="10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>
      <c r="A293" s="10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</row>
    <row r="294">
      <c r="A294" s="10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>
      <c r="A295" s="10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</row>
    <row r="296">
      <c r="A296" s="10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>
      <c r="A297" s="10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</row>
    <row r="298">
      <c r="A298" s="10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>
      <c r="A299" s="10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</row>
    <row r="300">
      <c r="A300" s="10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>
      <c r="A301" s="10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</row>
    <row r="302">
      <c r="A302" s="10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>
      <c r="A303" s="10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</row>
    <row r="304">
      <c r="A304" s="10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>
      <c r="A305" s="10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</row>
    <row r="306">
      <c r="A306" s="10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>
      <c r="A307" s="10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</row>
    <row r="308">
      <c r="A308" s="10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>
      <c r="A309" s="10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</row>
    <row r="310">
      <c r="A310" s="10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>
      <c r="A311" s="10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</row>
    <row r="312">
      <c r="A312" s="10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>
      <c r="A313" s="10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</row>
    <row r="314">
      <c r="A314" s="10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>
      <c r="A315" s="10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</row>
    <row r="316">
      <c r="A316" s="10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>
      <c r="A317" s="10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</row>
    <row r="318">
      <c r="A318" s="10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>
      <c r="A319" s="10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</row>
    <row r="320">
      <c r="A320" s="10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>
      <c r="A321" s="10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</row>
    <row r="322">
      <c r="A322" s="10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>
      <c r="A323" s="10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</row>
    <row r="324">
      <c r="A324" s="10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>
      <c r="A325" s="10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</row>
    <row r="326">
      <c r="A326" s="10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>
      <c r="A327" s="10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</row>
    <row r="328">
      <c r="A328" s="10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>
      <c r="A329" s="10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</row>
    <row r="330">
      <c r="A330" s="10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>
      <c r="A331" s="10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</row>
    <row r="332">
      <c r="A332" s="10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>
      <c r="A333" s="10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</row>
    <row r="334">
      <c r="A334" s="10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>
      <c r="A335" s="10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</row>
    <row r="336">
      <c r="A336" s="10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>
      <c r="A337" s="10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</row>
    <row r="338">
      <c r="A338" s="10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>
      <c r="A339" s="10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</row>
    <row r="340">
      <c r="A340" s="10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>
      <c r="A341" s="10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</row>
    <row r="342">
      <c r="A342" s="10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>
      <c r="A343" s="10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</row>
    <row r="344">
      <c r="A344" s="10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>
      <c r="A345" s="10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</row>
    <row r="346">
      <c r="A346" s="10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>
      <c r="A347" s="10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</row>
    <row r="348">
      <c r="A348" s="10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>
      <c r="A349" s="10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</row>
    <row r="350">
      <c r="A350" s="10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>
      <c r="A351" s="10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</row>
    <row r="352">
      <c r="A352" s="10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>
      <c r="A353" s="10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</row>
    <row r="354">
      <c r="A354" s="10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>
      <c r="A355" s="10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</row>
    <row r="356">
      <c r="A356" s="10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>
      <c r="A357" s="10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</row>
    <row r="358">
      <c r="A358" s="10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>
      <c r="A359" s="10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</row>
    <row r="360">
      <c r="A360" s="10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>
      <c r="A361" s="10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</row>
    <row r="362">
      <c r="A362" s="10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>
      <c r="A363" s="10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</row>
    <row r="364">
      <c r="A364" s="10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>
      <c r="A365" s="10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</row>
    <row r="366">
      <c r="A366" s="10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>
      <c r="A367" s="10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</row>
    <row r="368">
      <c r="A368" s="10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>
      <c r="A369" s="10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</row>
    <row r="370">
      <c r="A370" s="10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>
      <c r="A371" s="10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</row>
    <row r="372">
      <c r="A372" s="10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>
      <c r="A373" s="10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</row>
    <row r="374">
      <c r="A374" s="10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>
      <c r="A375" s="10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</row>
    <row r="376">
      <c r="A376" s="10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>
      <c r="A377" s="10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</row>
    <row r="378">
      <c r="A378" s="10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>
      <c r="A379" s="10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</row>
    <row r="380">
      <c r="A380" s="10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>
      <c r="A381" s="10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</row>
    <row r="382">
      <c r="A382" s="10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>
      <c r="A383" s="10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</row>
    <row r="384">
      <c r="A384" s="10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>
      <c r="A385" s="10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</row>
    <row r="386">
      <c r="A386" s="10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>
      <c r="A387" s="10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</row>
    <row r="388">
      <c r="A388" s="10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>
      <c r="A389" s="10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</row>
    <row r="390">
      <c r="A390" s="10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>
      <c r="A391" s="10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</row>
    <row r="392">
      <c r="A392" s="10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>
      <c r="A393" s="10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</row>
    <row r="394">
      <c r="A394" s="10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>
      <c r="A395" s="10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</row>
    <row r="396">
      <c r="A396" s="10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>
      <c r="A397" s="10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</row>
    <row r="398">
      <c r="A398" s="10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>
      <c r="A399" s="10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</row>
    <row r="400">
      <c r="A400" s="10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</sheetData>
  <autoFilter ref="A1:Q400"/>
  <dataValidations count="7">
    <dataValidation sqref="C2:C400" showDropDown="0" showInputMessage="0" showErrorMessage="0" allowBlank="1" errorTitle="Valore non previsto" error="Scegli un valore dall’elenco." type="list">
      <formula1>"quotidiano,online,TV,radio,agenzia,periodico,istituzionale"</formula1>
    </dataValidation>
    <dataValidation sqref="I2:I400" showDropDown="0" showInputMessage="0" showErrorMessage="0" allowBlank="1" errorTitle="Valore non previsto" error="Scegli un valore dall’elenco." type="list">
      <formula1>"Articolo,Intervista,Servizio TV,Servizio radio,Breve,Post,Comunicato ripreso"</formula1>
    </dataValidation>
    <dataValidation sqref="J2:J400" showDropDown="0" showInputMessage="0" showErrorMessage="0" allowBlank="1" errorTitle="Valore non previsto" error="Scegli un valore dall’elenco." type="list">
      <formula1>"Sì,No"</formula1>
    </dataValidation>
    <dataValidation sqref="K2:K400" showDropDown="0" showInputMessage="0" showErrorMessage="0" allowBlank="1" errorTitle="Valore non previsto" error="Scegli un valore dall’elenco." type="list">
      <formula1>"Sì,No"</formula1>
    </dataValidation>
    <dataValidation sqref="L2:L400" showDropDown="0" showInputMessage="0" showErrorMessage="0" allowBlank="1" errorTitle="Valore non previsto" error="Scegli un valore dall’elenco." type="list">
      <formula1>"Sì,No"</formula1>
    </dataValidation>
    <dataValidation sqref="O2:O400" showDropDown="0" showInputMessage="0" showErrorMessage="0" allowBlank="1" errorTitle="Valore non previsto" error="Scegli un valore dall’elenco." type="list">
      <formula1>"Sì,No"</formula1>
    </dataValidation>
    <dataValidation sqref="N2:N400" showDropDown="0" showInputMessage="0" showErrorMessage="0" allowBlank="1" errorTitle="Valore non previsto" error="Scegli un valore dall’elenco." type="list">
      <formula1>"Positivo,Neutro,Critico"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4" t="inlineStr">
        <is>
          <t>Riepilogo per la rassegna e per il report agli sponsor</t>
        </is>
      </c>
    </row>
    <row r="2">
      <c r="A2" s="15" t="inlineStr">
        <is>
          <t>Calcolato dai fogli “Uscite” e “Media list”. Non scrivere qui.</t>
        </is>
      </c>
    </row>
    <row r="4">
      <c r="A4" s="16" t="inlineStr">
        <is>
          <t>Uscite</t>
        </is>
      </c>
      <c r="B4" s="17" t="n"/>
    </row>
    <row r="5">
      <c r="A5" s="18" t="inlineStr">
        <is>
          <t>Uscite registrate</t>
        </is>
      </c>
      <c r="B5" s="19">
        <f>COUNTA(Uscite!$B$2:$B$400)</f>
        <v/>
      </c>
    </row>
    <row r="6">
      <c r="A6" s="18" t="inlineStr">
        <is>
          <t>di cui dal primo comunicato (13 ottobre 2026)</t>
        </is>
      </c>
      <c r="B6" s="19">
        <f>COUNTIFS(Uscite!$A$2:$A$400,"&gt;="&amp;DATE(2026,10,13))</f>
        <v/>
      </c>
    </row>
    <row r="7">
      <c r="A7" s="18" t="inlineStr">
        <is>
          <t>di cui dal 10 dicembre 2026</t>
        </is>
      </c>
      <c r="B7" s="19">
        <f>COUNTIFS(Uscite!$A$2:$A$400,"&gt;="&amp;DATE(2026,12,10))</f>
        <v/>
      </c>
    </row>
    <row r="8">
      <c r="A8" s="18" t="inlineStr">
        <is>
          <t>Testate diverse</t>
        </is>
      </c>
      <c r="B8" s="19">
        <f>SUMPRODUCT((Uscite!$B$2:$B$400&lt;&gt;"")/COUNTIF(Uscite!$B$2:$B$400,Uscite!$B$2:$B$400&amp;""))</f>
        <v/>
      </c>
    </row>
    <row r="9">
      <c r="A9" s="18" t="inlineStr">
        <is>
          <t>Che citano la Fondazione</t>
        </is>
      </c>
      <c r="B9" s="19">
        <f>COUNTIF(Uscite!$J$2:$J$400,"Sì")</f>
        <v/>
      </c>
    </row>
    <row r="10">
      <c r="A10" s="18" t="inlineStr">
        <is>
          <t>Che citano l’evento</t>
        </is>
      </c>
      <c r="B10" s="19">
        <f>COUNTIF(Uscite!$K$2:$K$400,"Sì")</f>
        <v/>
      </c>
    </row>
    <row r="11">
      <c r="A11" s="18" t="inlineStr">
        <is>
          <t>Che citano almeno uno sponsor</t>
        </is>
      </c>
      <c r="B11" s="19">
        <f>COUNTIF(Uscite!$L$2:$L$400,"Sì")</f>
        <v/>
      </c>
    </row>
    <row r="12">
      <c r="A12" s="18" t="inlineStr">
        <is>
          <t>Incluse nella rassegna</t>
        </is>
      </c>
      <c r="B12" s="19">
        <f>COUNTIF(Uscite!$O$2:$O$400,"Sì")</f>
        <v/>
      </c>
    </row>
    <row r="13">
      <c r="A13" s="16" t="inlineStr">
        <is>
          <t>Per tipo</t>
        </is>
      </c>
      <c r="B13" s="17" t="n"/>
    </row>
    <row r="14">
      <c r="A14" s="18" t="inlineStr">
        <is>
          <t xml:space="preserve">  quotidiano</t>
        </is>
      </c>
      <c r="B14" s="19">
        <f>COUNTIF(Uscite!$C$2:$C$400,"quotidiano")</f>
        <v/>
      </c>
    </row>
    <row r="15">
      <c r="A15" s="18" t="inlineStr">
        <is>
          <t xml:space="preserve">  online</t>
        </is>
      </c>
      <c r="B15" s="19">
        <f>COUNTIF(Uscite!$C$2:$C$400,"online")</f>
        <v/>
      </c>
    </row>
    <row r="16">
      <c r="A16" s="18" t="inlineStr">
        <is>
          <t xml:space="preserve">  TV</t>
        </is>
      </c>
      <c r="B16" s="19">
        <f>COUNTIF(Uscite!$C$2:$C$400,"TV")</f>
        <v/>
      </c>
    </row>
    <row r="17">
      <c r="A17" s="18" t="inlineStr">
        <is>
          <t xml:space="preserve">  radio</t>
        </is>
      </c>
      <c r="B17" s="19">
        <f>COUNTIF(Uscite!$C$2:$C$400,"radio")</f>
        <v/>
      </c>
    </row>
    <row r="18">
      <c r="A18" s="18" t="inlineStr">
        <is>
          <t xml:space="preserve">  agenzia</t>
        </is>
      </c>
      <c r="B18" s="19">
        <f>COUNTIF(Uscite!$C$2:$C$400,"agenzia")</f>
        <v/>
      </c>
    </row>
    <row r="19">
      <c r="A19" s="18" t="inlineStr">
        <is>
          <t xml:space="preserve">  periodico</t>
        </is>
      </c>
      <c r="B19" s="19">
        <f>COUNTIF(Uscite!$C$2:$C$400,"periodico")</f>
        <v/>
      </c>
    </row>
    <row r="20">
      <c r="A20" s="18" t="inlineStr">
        <is>
          <t xml:space="preserve">  istituzionale</t>
        </is>
      </c>
      <c r="B20" s="19">
        <f>COUNTIF(Uscite!$C$2:$C$400,"istituzionale")</f>
        <v/>
      </c>
    </row>
    <row r="21">
      <c r="A21" s="16" t="inlineStr">
        <is>
          <t>Per formato</t>
        </is>
      </c>
      <c r="B21" s="17" t="n"/>
    </row>
    <row r="22">
      <c r="A22" s="18" t="inlineStr">
        <is>
          <t xml:space="preserve">  Articolo</t>
        </is>
      </c>
      <c r="B22" s="19">
        <f>COUNTIF(Uscite!$I$2:$I$400,"Articolo")</f>
        <v/>
      </c>
    </row>
    <row r="23">
      <c r="A23" s="18" t="inlineStr">
        <is>
          <t xml:space="preserve">  Intervista</t>
        </is>
      </c>
      <c r="B23" s="19">
        <f>COUNTIF(Uscite!$I$2:$I$400,"Intervista")</f>
        <v/>
      </c>
    </row>
    <row r="24">
      <c r="A24" s="18" t="inlineStr">
        <is>
          <t xml:space="preserve">  Servizio TV</t>
        </is>
      </c>
      <c r="B24" s="19">
        <f>COUNTIF(Uscite!$I$2:$I$400,"Servizio TV")</f>
        <v/>
      </c>
    </row>
    <row r="25">
      <c r="A25" s="18" t="inlineStr">
        <is>
          <t xml:space="preserve">  Servizio radio</t>
        </is>
      </c>
      <c r="B25" s="19">
        <f>COUNTIF(Uscite!$I$2:$I$400,"Servizio radio")</f>
        <v/>
      </c>
    </row>
    <row r="26">
      <c r="A26" s="18" t="inlineStr">
        <is>
          <t xml:space="preserve">  Breve</t>
        </is>
      </c>
      <c r="B26" s="19">
        <f>COUNTIF(Uscite!$I$2:$I$400,"Breve")</f>
        <v/>
      </c>
    </row>
    <row r="27">
      <c r="A27" s="18" t="inlineStr">
        <is>
          <t xml:space="preserve">  Post</t>
        </is>
      </c>
      <c r="B27" s="19">
        <f>COUNTIF(Uscite!$I$2:$I$400,"Post")</f>
        <v/>
      </c>
    </row>
    <row r="28">
      <c r="A28" s="18" t="inlineStr">
        <is>
          <t xml:space="preserve">  Comunicato ripreso</t>
        </is>
      </c>
      <c r="B28" s="19">
        <f>COUNTIF(Uscite!$I$2:$I$400,"Comunicato ripreso")</f>
        <v/>
      </c>
    </row>
    <row r="29">
      <c r="A29" s="16" t="inlineStr">
        <is>
          <t>Media list</t>
        </is>
      </c>
      <c r="B29" s="17" t="n"/>
    </row>
    <row r="30">
      <c r="A30" s="18" t="inlineStr">
        <is>
          <t>Testate in elenco</t>
        </is>
      </c>
      <c r="B30" s="19">
        <f>COUNTA('Media list'!$A$2:$A$120)</f>
        <v/>
      </c>
    </row>
    <row r="31">
      <c r="A31" s="18" t="inlineStr">
        <is>
          <t>di priorità A</t>
        </is>
      </c>
      <c r="B31" s="19">
        <f>COUNTIF('Media list'!$E$2:$E$120,"A")</f>
        <v/>
      </c>
    </row>
    <row r="32">
      <c r="A32" s="18" t="inlineStr">
        <is>
          <t>Comunicato inviato</t>
        </is>
      </c>
      <c r="B32" s="19">
        <f>COUNT('Media list'!$N$2:$N$120)</f>
        <v/>
      </c>
    </row>
    <row r="33">
      <c r="A33" s="18" t="inlineStr">
        <is>
          <t>Nota per le redazioni inviata</t>
        </is>
      </c>
      <c r="B33" s="19">
        <f>COUNT('Media list'!$O$2:$O$120)</f>
        <v/>
      </c>
    </row>
    <row r="34">
      <c r="A34" s="18" t="inlineStr">
        <is>
          <t>Testate che hanno pubblicato</t>
        </is>
      </c>
      <c r="B34" s="19">
        <f>COUNTIF('Media list'!$P$2:$P$120,"Pubblicato")</f>
        <v/>
      </c>
    </row>
    <row r="35">
      <c r="A35" s="18" t="inlineStr">
        <is>
          <t>Giornalisti accreditati (testate)</t>
        </is>
      </c>
      <c r="B35" s="19">
        <f>COUNTIF('Media list'!$Q$2:$Q$120,"Sì")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2026-10-07T16:38:49Z</dcterms:created>
  <dcterms:modified xsi:type="dcterms:W3CDTF">2026-10-07T16:38:50Z</dcterms:modified>
</cp:coreProperties>
</file>